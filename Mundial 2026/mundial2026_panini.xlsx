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an\Documents\Cromos\Mundial 2026\"/>
    </mc:Choice>
  </mc:AlternateContent>
  <xr:revisionPtr revIDLastSave="0" documentId="13_ncr:1_{E3A7E2B1-7C26-476A-8900-533E34827EB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SUMEN" sheetId="1" r:id="rId1"/>
    <sheet name="INTRODUCCIÓN" sheetId="2" r:id="rId2"/>
    <sheet name="GRUPO A · México" sheetId="3" r:id="rId3"/>
    <sheet name="GRUPO A · South Africa" sheetId="4" r:id="rId4"/>
    <sheet name="GRUPO A · Korea Republic" sheetId="5" r:id="rId5"/>
    <sheet name="GRUPO A · Czechia" sheetId="6" r:id="rId6"/>
    <sheet name="GRUPO B · Canadá" sheetId="7" r:id="rId7"/>
    <sheet name="GRUPO B · Bosnia-Herzegovina" sheetId="8" r:id="rId8"/>
    <sheet name="GRUPO B · Qatar" sheetId="9" r:id="rId9"/>
    <sheet name="GRUPO B · Switzerland" sheetId="10" r:id="rId10"/>
    <sheet name="GRUPO C · Brazil" sheetId="11" r:id="rId11"/>
    <sheet name="GRUPO C · Morocco" sheetId="12" r:id="rId12"/>
    <sheet name="GRUPO C · Haiti" sheetId="13" r:id="rId13"/>
    <sheet name="GRUPO C · Scotland" sheetId="14" r:id="rId14"/>
    <sheet name="GRUPO D · USA" sheetId="15" r:id="rId15"/>
    <sheet name="GRUPO D · Paraguay" sheetId="16" r:id="rId16"/>
    <sheet name="GRUPO D · Australia" sheetId="17" r:id="rId17"/>
    <sheet name="GRUPO D · Türkiye" sheetId="18" r:id="rId18"/>
    <sheet name="GRUPO E · Germany" sheetId="19" r:id="rId19"/>
    <sheet name="GRUPO E · Curaçao" sheetId="20" r:id="rId20"/>
    <sheet name="GRUPO E · Cote dIvoire" sheetId="21" r:id="rId21"/>
    <sheet name="GRUPO E · Ecuador" sheetId="22" r:id="rId22"/>
    <sheet name="GRUPO F · Netherlands" sheetId="23" r:id="rId23"/>
    <sheet name="GRUPO F · Japan" sheetId="24" r:id="rId24"/>
    <sheet name="GRUPO F · Sweden" sheetId="25" r:id="rId25"/>
    <sheet name="GRUPO F · Tunisia" sheetId="26" r:id="rId26"/>
    <sheet name="GRUPO G · Belgium" sheetId="27" r:id="rId27"/>
    <sheet name="GRUPO G · Egypt" sheetId="28" r:id="rId28"/>
    <sheet name="GRUPO G · IR Iran" sheetId="29" r:id="rId29"/>
    <sheet name="GRUPO G · New Zealand" sheetId="30" r:id="rId30"/>
    <sheet name="GRUPO H · España" sheetId="31" r:id="rId31"/>
    <sheet name="GRUPO H · Cabo Verde" sheetId="32" r:id="rId32"/>
    <sheet name="GRUPO H · Saudi Arabia" sheetId="33" r:id="rId33"/>
    <sheet name="GRUPO H · Uruguay" sheetId="34" r:id="rId34"/>
    <sheet name="GRUPO I · France" sheetId="35" r:id="rId35"/>
    <sheet name="GRUPO I · Senegal" sheetId="36" r:id="rId36"/>
    <sheet name="GRUPO I · Iraq" sheetId="37" r:id="rId37"/>
    <sheet name="GRUPO I · Norway" sheetId="38" r:id="rId38"/>
    <sheet name="GRUPO J · Argentina" sheetId="39" r:id="rId39"/>
    <sheet name="GRUPO J · Algeria" sheetId="40" r:id="rId40"/>
    <sheet name="GRUPO J · Austria" sheetId="41" r:id="rId41"/>
    <sheet name="GRUPO J · Jordan" sheetId="42" r:id="rId42"/>
    <sheet name="GRUPO K · Portugal" sheetId="43" r:id="rId43"/>
    <sheet name="GRUPO K · Congo DR" sheetId="44" r:id="rId44"/>
    <sheet name="GRUPO K · Uzbekistan" sheetId="45" r:id="rId45"/>
    <sheet name="GRUPO K · Colombia" sheetId="46" r:id="rId46"/>
    <sheet name="GRUPO L · England" sheetId="47" r:id="rId47"/>
    <sheet name="GRUPO L · Croatia" sheetId="48" r:id="rId48"/>
    <sheet name="GRUPO L · Ghana" sheetId="49" r:id="rId49"/>
    <sheet name="GRUPO L · Panamá" sheetId="50" r:id="rId50"/>
    <sheet name="FIFA WORLD CUP HISTORY" sheetId="51" r:id="rId51"/>
    <sheet name="EXTRA STICKERS" sheetId="52" r:id="rId52"/>
    <sheet name="COCA COLA (Ed. España)" sheetId="53" r:id="rId5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53" l="1"/>
  <c r="G13" i="53"/>
  <c r="G12" i="53"/>
  <c r="G11" i="53"/>
  <c r="G10" i="53"/>
  <c r="G9" i="53"/>
  <c r="G8" i="53"/>
  <c r="G7" i="53"/>
  <c r="G6" i="53"/>
  <c r="G5" i="53"/>
  <c r="G4" i="53"/>
  <c r="G3" i="53"/>
  <c r="G22" i="52"/>
  <c r="G21" i="52"/>
  <c r="G20" i="52"/>
  <c r="G19" i="52"/>
  <c r="G18" i="52"/>
  <c r="G17" i="52"/>
  <c r="G16" i="52"/>
  <c r="G15" i="52"/>
  <c r="G14" i="52"/>
  <c r="G13" i="52"/>
  <c r="G12" i="52"/>
  <c r="G11" i="52"/>
  <c r="G10" i="52"/>
  <c r="G9" i="52"/>
  <c r="G8" i="52"/>
  <c r="G7" i="52"/>
  <c r="G6" i="52"/>
  <c r="G5" i="52"/>
  <c r="G4" i="52"/>
  <c r="G3" i="52"/>
  <c r="G13" i="51"/>
  <c r="G12" i="51"/>
  <c r="G11" i="51"/>
  <c r="G10" i="51"/>
  <c r="G9" i="51"/>
  <c r="G8" i="51"/>
  <c r="G7" i="51"/>
  <c r="G6" i="51"/>
  <c r="G5" i="51"/>
  <c r="G4" i="51"/>
  <c r="G3" i="51"/>
  <c r="G22" i="50"/>
  <c r="G21" i="50"/>
  <c r="G20" i="50"/>
  <c r="G19" i="50"/>
  <c r="G18" i="50"/>
  <c r="G17" i="50"/>
  <c r="G16" i="50"/>
  <c r="G15" i="50"/>
  <c r="G14" i="50"/>
  <c r="G13" i="50"/>
  <c r="G12" i="50"/>
  <c r="G11" i="50"/>
  <c r="G10" i="50"/>
  <c r="G9" i="50"/>
  <c r="G8" i="50"/>
  <c r="G7" i="50"/>
  <c r="G6" i="50"/>
  <c r="G5" i="50"/>
  <c r="G4" i="50"/>
  <c r="G3" i="50"/>
  <c r="G22" i="49"/>
  <c r="G21" i="49"/>
  <c r="G20" i="49"/>
  <c r="G19" i="49"/>
  <c r="G18" i="49"/>
  <c r="G17" i="49"/>
  <c r="G16" i="49"/>
  <c r="G15" i="49"/>
  <c r="G14" i="49"/>
  <c r="G13" i="49"/>
  <c r="G12" i="49"/>
  <c r="G11" i="49"/>
  <c r="G10" i="49"/>
  <c r="G9" i="49"/>
  <c r="G8" i="49"/>
  <c r="G7" i="49"/>
  <c r="G6" i="49"/>
  <c r="G5" i="49"/>
  <c r="G4" i="49"/>
  <c r="G3" i="49"/>
  <c r="G22" i="48"/>
  <c r="G21" i="48"/>
  <c r="G20" i="48"/>
  <c r="G19" i="48"/>
  <c r="G18" i="48"/>
  <c r="G17" i="48"/>
  <c r="G16" i="48"/>
  <c r="G15" i="48"/>
  <c r="G14" i="48"/>
  <c r="G13" i="48"/>
  <c r="G12" i="48"/>
  <c r="G11" i="48"/>
  <c r="G10" i="48"/>
  <c r="G9" i="48"/>
  <c r="G8" i="48"/>
  <c r="G7" i="48"/>
  <c r="G6" i="48"/>
  <c r="G5" i="48"/>
  <c r="G4" i="48"/>
  <c r="G3" i="48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2" i="46"/>
  <c r="G21" i="46"/>
  <c r="G20" i="46"/>
  <c r="G19" i="46"/>
  <c r="G18" i="46"/>
  <c r="G17" i="46"/>
  <c r="G16" i="46"/>
  <c r="G15" i="46"/>
  <c r="G14" i="46"/>
  <c r="G13" i="46"/>
  <c r="G12" i="46"/>
  <c r="G11" i="46"/>
  <c r="G10" i="46"/>
  <c r="G9" i="46"/>
  <c r="G8" i="46"/>
  <c r="G7" i="46"/>
  <c r="G6" i="46"/>
  <c r="G5" i="46"/>
  <c r="G4" i="46"/>
  <c r="G3" i="46"/>
  <c r="G22" i="45"/>
  <c r="G21" i="45"/>
  <c r="G20" i="45"/>
  <c r="G19" i="45"/>
  <c r="G18" i="45"/>
  <c r="G17" i="45"/>
  <c r="G16" i="45"/>
  <c r="G15" i="45"/>
  <c r="G14" i="45"/>
  <c r="G13" i="45"/>
  <c r="G12" i="45"/>
  <c r="G11" i="45"/>
  <c r="G10" i="45"/>
  <c r="G9" i="45"/>
  <c r="G8" i="45"/>
  <c r="G7" i="45"/>
  <c r="G6" i="45"/>
  <c r="G5" i="45"/>
  <c r="G4" i="45"/>
  <c r="G3" i="45"/>
  <c r="G22" i="44"/>
  <c r="G21" i="44"/>
  <c r="G20" i="44"/>
  <c r="G19" i="44"/>
  <c r="G18" i="44"/>
  <c r="G17" i="44"/>
  <c r="G16" i="44"/>
  <c r="G15" i="44"/>
  <c r="G14" i="44"/>
  <c r="G13" i="44"/>
  <c r="G12" i="44"/>
  <c r="G11" i="44"/>
  <c r="G10" i="44"/>
  <c r="G9" i="44"/>
  <c r="G8" i="44"/>
  <c r="G7" i="44"/>
  <c r="G6" i="44"/>
  <c r="G5" i="44"/>
  <c r="G4" i="44"/>
  <c r="G3" i="44"/>
  <c r="G22" i="43"/>
  <c r="G21" i="43"/>
  <c r="G20" i="43"/>
  <c r="G19" i="43"/>
  <c r="G18" i="43"/>
  <c r="G17" i="43"/>
  <c r="G16" i="43"/>
  <c r="G15" i="43"/>
  <c r="G14" i="43"/>
  <c r="G13" i="43"/>
  <c r="G12" i="43"/>
  <c r="G11" i="43"/>
  <c r="G10" i="43"/>
  <c r="G9" i="43"/>
  <c r="G8" i="43"/>
  <c r="G7" i="43"/>
  <c r="G6" i="43"/>
  <c r="G5" i="43"/>
  <c r="G4" i="43"/>
  <c r="G3" i="43"/>
  <c r="G22" i="42"/>
  <c r="G21" i="42"/>
  <c r="G20" i="42"/>
  <c r="G19" i="42"/>
  <c r="G18" i="42"/>
  <c r="G17" i="42"/>
  <c r="G16" i="42"/>
  <c r="G15" i="42"/>
  <c r="G14" i="42"/>
  <c r="G13" i="42"/>
  <c r="G12" i="42"/>
  <c r="G11" i="42"/>
  <c r="G10" i="42"/>
  <c r="G9" i="42"/>
  <c r="G8" i="42"/>
  <c r="G7" i="42"/>
  <c r="G6" i="42"/>
  <c r="G5" i="42"/>
  <c r="G4" i="42"/>
  <c r="G3" i="42"/>
  <c r="G22" i="41"/>
  <c r="G21" i="41"/>
  <c r="G20" i="41"/>
  <c r="G19" i="41"/>
  <c r="G18" i="41"/>
  <c r="G17" i="41"/>
  <c r="G16" i="41"/>
  <c r="G15" i="41"/>
  <c r="G14" i="41"/>
  <c r="G13" i="41"/>
  <c r="G12" i="41"/>
  <c r="G11" i="41"/>
  <c r="G10" i="41"/>
  <c r="G9" i="41"/>
  <c r="G8" i="41"/>
  <c r="G7" i="41"/>
  <c r="G6" i="41"/>
  <c r="G5" i="41"/>
  <c r="G4" i="41"/>
  <c r="G3" i="41"/>
  <c r="G22" i="40"/>
  <c r="G21" i="40"/>
  <c r="G20" i="40"/>
  <c r="G19" i="40"/>
  <c r="G18" i="40"/>
  <c r="G17" i="40"/>
  <c r="G16" i="40"/>
  <c r="G15" i="40"/>
  <c r="G14" i="40"/>
  <c r="G13" i="40"/>
  <c r="G12" i="40"/>
  <c r="G11" i="40"/>
  <c r="G10" i="40"/>
  <c r="G9" i="40"/>
  <c r="G8" i="40"/>
  <c r="G7" i="40"/>
  <c r="G6" i="40"/>
  <c r="G5" i="40"/>
  <c r="G4" i="40"/>
  <c r="G3" i="40"/>
  <c r="G22" i="39"/>
  <c r="G21" i="39"/>
  <c r="G20" i="39"/>
  <c r="G19" i="39"/>
  <c r="G18" i="39"/>
  <c r="G17" i="39"/>
  <c r="G16" i="39"/>
  <c r="G15" i="39"/>
  <c r="G14" i="39"/>
  <c r="G13" i="39"/>
  <c r="G12" i="39"/>
  <c r="G11" i="39"/>
  <c r="G10" i="39"/>
  <c r="G9" i="39"/>
  <c r="G8" i="39"/>
  <c r="G7" i="39"/>
  <c r="G6" i="39"/>
  <c r="G5" i="39"/>
  <c r="G4" i="39"/>
  <c r="G3" i="39"/>
  <c r="G22" i="38"/>
  <c r="G21" i="38"/>
  <c r="G20" i="38"/>
  <c r="G19" i="38"/>
  <c r="G18" i="38"/>
  <c r="G17" i="38"/>
  <c r="G16" i="38"/>
  <c r="G15" i="38"/>
  <c r="G14" i="38"/>
  <c r="G13" i="38"/>
  <c r="G12" i="38"/>
  <c r="G11" i="38"/>
  <c r="G10" i="38"/>
  <c r="G9" i="38"/>
  <c r="G8" i="38"/>
  <c r="G7" i="38"/>
  <c r="G6" i="38"/>
  <c r="G5" i="38"/>
  <c r="G4" i="38"/>
  <c r="G3" i="38"/>
  <c r="G22" i="37"/>
  <c r="G21" i="37"/>
  <c r="G20" i="37"/>
  <c r="G19" i="37"/>
  <c r="G18" i="37"/>
  <c r="G17" i="37"/>
  <c r="G16" i="37"/>
  <c r="G15" i="37"/>
  <c r="G14" i="37"/>
  <c r="G13" i="37"/>
  <c r="G12" i="37"/>
  <c r="G11" i="37"/>
  <c r="G10" i="37"/>
  <c r="G9" i="37"/>
  <c r="G8" i="37"/>
  <c r="G7" i="37"/>
  <c r="G6" i="37"/>
  <c r="G5" i="37"/>
  <c r="G4" i="37"/>
  <c r="G3" i="37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9" i="36"/>
  <c r="G8" i="36"/>
  <c r="G7" i="36"/>
  <c r="G6" i="36"/>
  <c r="G5" i="36"/>
  <c r="G4" i="36"/>
  <c r="G3" i="36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G9" i="35"/>
  <c r="G8" i="35"/>
  <c r="G7" i="35"/>
  <c r="G6" i="35"/>
  <c r="G5" i="35"/>
  <c r="G4" i="35"/>
  <c r="G3" i="35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G3" i="34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G5" i="33"/>
  <c r="G4" i="33"/>
  <c r="G3" i="33"/>
  <c r="G22" i="32"/>
  <c r="G21" i="32"/>
  <c r="G20" i="32"/>
  <c r="G19" i="32"/>
  <c r="G18" i="32"/>
  <c r="G17" i="32"/>
  <c r="G16" i="32"/>
  <c r="G15" i="32"/>
  <c r="G14" i="32"/>
  <c r="G13" i="32"/>
  <c r="G12" i="32"/>
  <c r="G11" i="32"/>
  <c r="G10" i="32"/>
  <c r="G9" i="32"/>
  <c r="G8" i="32"/>
  <c r="G7" i="32"/>
  <c r="G6" i="32"/>
  <c r="G5" i="32"/>
  <c r="G4" i="32"/>
  <c r="G3" i="32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3" i="31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G6" i="30"/>
  <c r="G5" i="30"/>
  <c r="G4" i="30"/>
  <c r="G3" i="30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G4" i="29"/>
  <c r="G3" i="29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G3" i="28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G4" i="25"/>
  <c r="G3" i="25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11" i="2"/>
  <c r="G10" i="2"/>
  <c r="G9" i="2"/>
  <c r="G8" i="2"/>
  <c r="G7" i="2"/>
  <c r="G6" i="2"/>
  <c r="G5" i="2"/>
  <c r="G4" i="2"/>
  <c r="G3" i="2"/>
  <c r="B55" i="1"/>
  <c r="F54" i="1"/>
  <c r="E54" i="1"/>
  <c r="D54" i="1"/>
  <c r="C54" i="1"/>
  <c r="G53" i="1"/>
  <c r="F53" i="1"/>
  <c r="E53" i="1"/>
  <c r="D53" i="1"/>
  <c r="C53" i="1"/>
  <c r="F52" i="1"/>
  <c r="E52" i="1"/>
  <c r="D52" i="1"/>
  <c r="C52" i="1"/>
  <c r="F51" i="1"/>
  <c r="E51" i="1"/>
  <c r="D51" i="1"/>
  <c r="C51" i="1"/>
  <c r="F50" i="1"/>
  <c r="E50" i="1"/>
  <c r="D50" i="1"/>
  <c r="C50" i="1"/>
  <c r="F49" i="1"/>
  <c r="E49" i="1"/>
  <c r="D49" i="1"/>
  <c r="C49" i="1"/>
  <c r="F48" i="1"/>
  <c r="E48" i="1"/>
  <c r="D48" i="1"/>
  <c r="C48" i="1"/>
  <c r="F47" i="1"/>
  <c r="E47" i="1"/>
  <c r="D47" i="1"/>
  <c r="C47" i="1"/>
  <c r="F46" i="1"/>
  <c r="E46" i="1"/>
  <c r="D46" i="1"/>
  <c r="C46" i="1"/>
  <c r="F45" i="1"/>
  <c r="E45" i="1"/>
  <c r="D45" i="1"/>
  <c r="C45" i="1"/>
  <c r="F44" i="1"/>
  <c r="E44" i="1"/>
  <c r="D44" i="1"/>
  <c r="C44" i="1"/>
  <c r="F43" i="1"/>
  <c r="E43" i="1"/>
  <c r="D43" i="1"/>
  <c r="C43" i="1"/>
  <c r="F42" i="1"/>
  <c r="E42" i="1"/>
  <c r="D42" i="1"/>
  <c r="C42" i="1"/>
  <c r="F41" i="1"/>
  <c r="E41" i="1"/>
  <c r="D41" i="1"/>
  <c r="C41" i="1"/>
  <c r="F40" i="1"/>
  <c r="E40" i="1"/>
  <c r="D40" i="1"/>
  <c r="C40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G52" i="1" l="1"/>
  <c r="G49" i="1"/>
  <c r="G37" i="1"/>
  <c r="G51" i="1"/>
  <c r="G27" i="1"/>
  <c r="G54" i="1"/>
  <c r="G13" i="1"/>
  <c r="G26" i="1"/>
  <c r="G45" i="1"/>
  <c r="G6" i="1"/>
  <c r="G21" i="1"/>
  <c r="G10" i="1"/>
  <c r="G44" i="1"/>
  <c r="G33" i="1"/>
  <c r="G11" i="1"/>
  <c r="G48" i="1"/>
  <c r="G35" i="1"/>
  <c r="G24" i="1"/>
  <c r="G17" i="1"/>
  <c r="G47" i="1"/>
  <c r="G41" i="1"/>
  <c r="G39" i="1"/>
  <c r="G25" i="1"/>
  <c r="G46" i="1"/>
  <c r="G36" i="1"/>
  <c r="G31" i="1"/>
  <c r="G8" i="1"/>
  <c r="G40" i="1"/>
  <c r="G30" i="1"/>
  <c r="G12" i="1"/>
  <c r="G7" i="1"/>
  <c r="G28" i="1"/>
  <c r="G18" i="1"/>
  <c r="G50" i="1"/>
  <c r="G42" i="1"/>
  <c r="G20" i="1"/>
  <c r="G16" i="1"/>
  <c r="G9" i="1"/>
  <c r="G3" i="1"/>
  <c r="G34" i="1"/>
  <c r="G29" i="1"/>
  <c r="G23" i="1"/>
  <c r="G22" i="1"/>
  <c r="G5" i="1"/>
  <c r="G4" i="1"/>
  <c r="G43" i="1"/>
  <c r="G19" i="1"/>
  <c r="F55" i="1"/>
  <c r="G14" i="1"/>
  <c r="G38" i="1"/>
  <c r="G15" i="1"/>
  <c r="G32" i="1"/>
  <c r="E55" i="1"/>
  <c r="D55" i="1"/>
  <c r="C55" i="1"/>
  <c r="G55" i="1" l="1"/>
</calcChain>
</file>

<file path=xl/sharedStrings.xml><?xml version="1.0" encoding="utf-8"?>
<sst xmlns="http://schemas.openxmlformats.org/spreadsheetml/2006/main" count="3494" uniqueCount="1997">
  <si>
    <t>ÁLBUM PANINI FIFA WORLD CUP 2026 — SEGUIMIENTO</t>
  </si>
  <si>
    <t>Sección</t>
  </si>
  <si>
    <t>Total</t>
  </si>
  <si>
    <t>Faltan</t>
  </si>
  <si>
    <t>Pedir</t>
  </si>
  <si>
    <t>Repetidos</t>
  </si>
  <si>
    <t>Enviados</t>
  </si>
  <si>
    <t>Disponibles</t>
  </si>
  <si>
    <t>INTRODUCCIÓN</t>
  </si>
  <si>
    <t>GRUPO A · México</t>
  </si>
  <si>
    <t>GRUPO A · South Africa</t>
  </si>
  <si>
    <t>GRUPO A · Korea Republic</t>
  </si>
  <si>
    <t>GRUPO A · Czechia</t>
  </si>
  <si>
    <t>GRUPO B · Canadá</t>
  </si>
  <si>
    <t>GRUPO B · Bosnia-Herzegovina</t>
  </si>
  <si>
    <t>GRUPO B · Qatar</t>
  </si>
  <si>
    <t>GRUPO B · Switzerland</t>
  </si>
  <si>
    <t>GRUPO C · Brazil</t>
  </si>
  <si>
    <t>GRUPO C · Morocco</t>
  </si>
  <si>
    <t>GRUPO C · Haiti</t>
  </si>
  <si>
    <t>GRUPO C · Scotland</t>
  </si>
  <si>
    <t>GRUPO D · USA</t>
  </si>
  <si>
    <t>GRUPO D · Paraguay</t>
  </si>
  <si>
    <t>GRUPO D · Australia</t>
  </si>
  <si>
    <t>GRUPO D · Türkiye</t>
  </si>
  <si>
    <t>GRUPO E · Germany</t>
  </si>
  <si>
    <t>GRUPO E · Curaçao</t>
  </si>
  <si>
    <t>GRUPO E · Cote dIvoire</t>
  </si>
  <si>
    <t>GRUPO E · Ecuador</t>
  </si>
  <si>
    <t>GRUPO F · Netherlands</t>
  </si>
  <si>
    <t>GRUPO F · Japan</t>
  </si>
  <si>
    <t>GRUPO F · Sweden</t>
  </si>
  <si>
    <t>GRUPO F · Tunisia</t>
  </si>
  <si>
    <t>GRUPO G · Belgium</t>
  </si>
  <si>
    <t>GRUPO G · Egypt</t>
  </si>
  <si>
    <t>GRUPO G · IR Iran</t>
  </si>
  <si>
    <t>GRUPO G · New Zealand</t>
  </si>
  <si>
    <t>GRUPO H · España</t>
  </si>
  <si>
    <t>GRUPO H · Cabo Verde</t>
  </si>
  <si>
    <t>GRUPO H · Saudi Arabia</t>
  </si>
  <si>
    <t>GRUPO H · Uruguay</t>
  </si>
  <si>
    <t>GRUPO I · France</t>
  </si>
  <si>
    <t>GRUPO I · Senegal</t>
  </si>
  <si>
    <t>GRUPO I · Iraq</t>
  </si>
  <si>
    <t>GRUPO I · Norway</t>
  </si>
  <si>
    <t>GRUPO J · Argentina</t>
  </si>
  <si>
    <t>GRUPO J · Algeria</t>
  </si>
  <si>
    <t>GRUPO J · Austria</t>
  </si>
  <si>
    <t>GRUPO J · Jordan</t>
  </si>
  <si>
    <t>GRUPO K · Portugal</t>
  </si>
  <si>
    <t>GRUPO K · Congo DR</t>
  </si>
  <si>
    <t>GRUPO K · Uzbekistan</t>
  </si>
  <si>
    <t>GRUPO K · Colombia</t>
  </si>
  <si>
    <t>GRUPO L · England</t>
  </si>
  <si>
    <t>GRUPO L · Croatia</t>
  </si>
  <si>
    <t>GRUPO L · Ghana</t>
  </si>
  <si>
    <t>GRUPO L · Panamá</t>
  </si>
  <si>
    <t>FIFA WORLD CUP HISTORY</t>
  </si>
  <si>
    <t>EXTRA STICKERS</t>
  </si>
  <si>
    <t>COCA COLA (Ed. España)</t>
  </si>
  <si>
    <t>TOTAL</t>
  </si>
  <si>
    <t>📝 Instrucciones: Pon X en "Tengo" cuando tengas el cromo. Vacío = falta. X en "Pedir" = necesitas conseguirlo. Número en "Repetidos" = copias totales. "Disponibles" se calcula solo (Repetidos - Enviados).</t>
  </si>
  <si>
    <t>Código</t>
  </si>
  <si>
    <t>Jugador / Cromo</t>
  </si>
  <si>
    <t>Tengo</t>
  </si>
  <si>
    <t>00</t>
  </si>
  <si>
    <t>Logo Panini</t>
  </si>
  <si>
    <t>FWC1</t>
  </si>
  <si>
    <t>Logo Mundial - Parte Superior</t>
  </si>
  <si>
    <t>FWC2</t>
  </si>
  <si>
    <t>Logo Mundial - Parte Inferior</t>
  </si>
  <si>
    <t>FWC3</t>
  </si>
  <si>
    <t>Official Mascots</t>
  </si>
  <si>
    <t>FWC4</t>
  </si>
  <si>
    <t>Official Slogan</t>
  </si>
  <si>
    <t>FWC5</t>
  </si>
  <si>
    <t>Official Ball</t>
  </si>
  <si>
    <t>FWC6</t>
  </si>
  <si>
    <t>Canadá - Host Country Emblem</t>
  </si>
  <si>
    <t>FWC7</t>
  </si>
  <si>
    <t>México - Host Country Emblem</t>
  </si>
  <si>
    <t>FWC8</t>
  </si>
  <si>
    <t>USA - Host Country Emblem</t>
  </si>
  <si>
    <t>MEX1</t>
  </si>
  <si>
    <t>Escudo</t>
  </si>
  <si>
    <t>X</t>
  </si>
  <si>
    <t>MEX2</t>
  </si>
  <si>
    <t>Luis Malagón</t>
  </si>
  <si>
    <t>MEX3</t>
  </si>
  <si>
    <t>Johan Vásquez</t>
  </si>
  <si>
    <t>MEX4</t>
  </si>
  <si>
    <t>Jorge Sánchez</t>
  </si>
  <si>
    <t>MEX5</t>
  </si>
  <si>
    <t>César Montes</t>
  </si>
  <si>
    <t>MEX6</t>
  </si>
  <si>
    <t>Jesús Gallardo</t>
  </si>
  <si>
    <t>MEX7</t>
  </si>
  <si>
    <t>Israel Reyes</t>
  </si>
  <si>
    <t>MEX8</t>
  </si>
  <si>
    <t>Diego Lainez</t>
  </si>
  <si>
    <t>MEX9</t>
  </si>
  <si>
    <t>Carlos Rodríguez</t>
  </si>
  <si>
    <t>MEX10</t>
  </si>
  <si>
    <t>Edson Álvarez</t>
  </si>
  <si>
    <t>MEX11</t>
  </si>
  <si>
    <t>Orbelin Pineda</t>
  </si>
  <si>
    <t>MEX12</t>
  </si>
  <si>
    <t>Marcel Ruiz</t>
  </si>
  <si>
    <t>MEX13</t>
  </si>
  <si>
    <t>Foto Equipo</t>
  </si>
  <si>
    <t>MEX14</t>
  </si>
  <si>
    <t>Érick Sánchez</t>
  </si>
  <si>
    <t>MEX15</t>
  </si>
  <si>
    <t>Hirving Lozano</t>
  </si>
  <si>
    <t>MEX16</t>
  </si>
  <si>
    <t>Santiago Giménez</t>
  </si>
  <si>
    <t>MEX17</t>
  </si>
  <si>
    <t>Raúl Jiménez</t>
  </si>
  <si>
    <t>MEX18</t>
  </si>
  <si>
    <t>Alexis Vega</t>
  </si>
  <si>
    <t>MEX19</t>
  </si>
  <si>
    <t>Roberto Alvarado</t>
  </si>
  <si>
    <t>MEX20</t>
  </si>
  <si>
    <t>César Huerta</t>
  </si>
  <si>
    <t>RSA1</t>
  </si>
  <si>
    <t>RSA2</t>
  </si>
  <si>
    <t>Ronwen Williams</t>
  </si>
  <si>
    <t>RSA3</t>
  </si>
  <si>
    <t>Sipho Chaine</t>
  </si>
  <si>
    <t>RSA4</t>
  </si>
  <si>
    <t>Aubrey Modiba</t>
  </si>
  <si>
    <t>RSA5</t>
  </si>
  <si>
    <t>Samukele Kabini</t>
  </si>
  <si>
    <t>RSA6</t>
  </si>
  <si>
    <t>Khuliso Mudau</t>
  </si>
  <si>
    <t>RSA7</t>
  </si>
  <si>
    <t>Khulumani Ndamane</t>
  </si>
  <si>
    <t>RSA8</t>
  </si>
  <si>
    <t>Siyabonga Ngezana</t>
  </si>
  <si>
    <t>RSA9</t>
  </si>
  <si>
    <t>RSA10</t>
  </si>
  <si>
    <t>Nkosinathi Sibisi</t>
  </si>
  <si>
    <t>RSA11</t>
  </si>
  <si>
    <t>Teboho Mokoena</t>
  </si>
  <si>
    <t>RSA12</t>
  </si>
  <si>
    <t>Thalente Mbatha</t>
  </si>
  <si>
    <t>RSA13</t>
  </si>
  <si>
    <t>RSA14</t>
  </si>
  <si>
    <t>Bathusi Aubaas</t>
  </si>
  <si>
    <t>RSA15</t>
  </si>
  <si>
    <t>Yaya Sithole</t>
  </si>
  <si>
    <t>RSA16</t>
  </si>
  <si>
    <t>Sipho Mbule</t>
  </si>
  <si>
    <t>RSA17</t>
  </si>
  <si>
    <t>Lyle Foster</t>
  </si>
  <si>
    <t>RSA18</t>
  </si>
  <si>
    <t>Iqraam Rayners</t>
  </si>
  <si>
    <t>RSA19</t>
  </si>
  <si>
    <t>Mohau Nkota</t>
  </si>
  <si>
    <t>RSA20</t>
  </si>
  <si>
    <t>Oswin Appollis</t>
  </si>
  <si>
    <t>KOR1</t>
  </si>
  <si>
    <t>KOR2</t>
  </si>
  <si>
    <t>Hyeonwoo Jo</t>
  </si>
  <si>
    <t>KOR3</t>
  </si>
  <si>
    <t>Seunggyu Kim</t>
  </si>
  <si>
    <t>KOR4</t>
  </si>
  <si>
    <t>Minjae Kim</t>
  </si>
  <si>
    <t>KOR5</t>
  </si>
  <si>
    <t>Yumin Cho</t>
  </si>
  <si>
    <t>KOR6</t>
  </si>
  <si>
    <t>Youngwoo Seol</t>
  </si>
  <si>
    <t>KOR7</t>
  </si>
  <si>
    <t>Hanbeom Lee</t>
  </si>
  <si>
    <t>KOR8</t>
  </si>
  <si>
    <t>Taeseok Lee</t>
  </si>
  <si>
    <t>KOR9</t>
  </si>
  <si>
    <t>Myungjae Lee</t>
  </si>
  <si>
    <t>KOR10</t>
  </si>
  <si>
    <t>Jaesung Lee</t>
  </si>
  <si>
    <t>KOR11</t>
  </si>
  <si>
    <t>Inbeom Hwang</t>
  </si>
  <si>
    <t>KOR12</t>
  </si>
  <si>
    <t>Kangin Lee</t>
  </si>
  <si>
    <t>KOR13</t>
  </si>
  <si>
    <t>KOR14</t>
  </si>
  <si>
    <t>Seungho Paik</t>
  </si>
  <si>
    <t>KOR15</t>
  </si>
  <si>
    <t>Jens Castrop</t>
  </si>
  <si>
    <t>KOR16</t>
  </si>
  <si>
    <t>Donggyeong Lee</t>
  </si>
  <si>
    <t>KOR17</t>
  </si>
  <si>
    <t>Guesung Cho</t>
  </si>
  <si>
    <t>KOR18</t>
  </si>
  <si>
    <t>Heungmin Son</t>
  </si>
  <si>
    <t>KOR19</t>
  </si>
  <si>
    <t>Heechan Hwang</t>
  </si>
  <si>
    <t>KOR20</t>
  </si>
  <si>
    <t>Hyeongyu Oh</t>
  </si>
  <si>
    <t>CZE1</t>
  </si>
  <si>
    <t>CZE2</t>
  </si>
  <si>
    <t>Matěj Kovář</t>
  </si>
  <si>
    <t>CZE3</t>
  </si>
  <si>
    <t>Jindřich Staněk</t>
  </si>
  <si>
    <t>CZE4</t>
  </si>
  <si>
    <t>Ladislav Krejčí</t>
  </si>
  <si>
    <t>CZE5</t>
  </si>
  <si>
    <t>Vladimír Coufal</t>
  </si>
  <si>
    <t>CZE6</t>
  </si>
  <si>
    <t>Jaroslav Zelený</t>
  </si>
  <si>
    <t>CZE7</t>
  </si>
  <si>
    <t>Tomáš Holeš</t>
  </si>
  <si>
    <t>CZE8</t>
  </si>
  <si>
    <t>David Zima</t>
  </si>
  <si>
    <t>CZE9</t>
  </si>
  <si>
    <t>Michal Sadílek</t>
  </si>
  <si>
    <t>CZE10</t>
  </si>
  <si>
    <t>Lukáš Provod</t>
  </si>
  <si>
    <t>CZE11</t>
  </si>
  <si>
    <t>Lukáš Červ</t>
  </si>
  <si>
    <t>CZE12</t>
  </si>
  <si>
    <t>Tomáš Souček</t>
  </si>
  <si>
    <t>CZE13</t>
  </si>
  <si>
    <t>CZE14</t>
  </si>
  <si>
    <t>Pavel Šulc</t>
  </si>
  <si>
    <t>CZE15</t>
  </si>
  <si>
    <t>Matěj Vydra</t>
  </si>
  <si>
    <t>CZE16</t>
  </si>
  <si>
    <t>Vasil Kušej</t>
  </si>
  <si>
    <t>CZE17</t>
  </si>
  <si>
    <t>Tomáš Chorý</t>
  </si>
  <si>
    <t>CZE18</t>
  </si>
  <si>
    <t>Václav Černý</t>
  </si>
  <si>
    <t>CZE19</t>
  </si>
  <si>
    <t>Adam Hložek</t>
  </si>
  <si>
    <t>CZE20</t>
  </si>
  <si>
    <t>Patrik Schick</t>
  </si>
  <si>
    <t>CAN1</t>
  </si>
  <si>
    <t>CAN2</t>
  </si>
  <si>
    <t>Dayne St. Clair</t>
  </si>
  <si>
    <t>CAN3</t>
  </si>
  <si>
    <t>Alphonso Davies</t>
  </si>
  <si>
    <t>CAN4</t>
  </si>
  <si>
    <t>Alistair Johnston</t>
  </si>
  <si>
    <t>CAN5</t>
  </si>
  <si>
    <t>Samuel Adekugbe</t>
  </si>
  <si>
    <t>CAN6</t>
  </si>
  <si>
    <t>Samuel Richie Larvea</t>
  </si>
  <si>
    <t>CAN7</t>
  </si>
  <si>
    <t>Derek Cornelius</t>
  </si>
  <si>
    <t>CAN8</t>
  </si>
  <si>
    <t>Moïse Bombito</t>
  </si>
  <si>
    <t>CAN9</t>
  </si>
  <si>
    <t>Kamal Miller</t>
  </si>
  <si>
    <t>CAN10</t>
  </si>
  <si>
    <t>Stephen Eustáquio</t>
  </si>
  <si>
    <t>CAN11</t>
  </si>
  <si>
    <t>Ismaël Koné</t>
  </si>
  <si>
    <t>CAN12</t>
  </si>
  <si>
    <t>Jonathan Osorio</t>
  </si>
  <si>
    <t>CAN13</t>
  </si>
  <si>
    <t>CAN14</t>
  </si>
  <si>
    <t>Jacob Shaffelburg</t>
  </si>
  <si>
    <t>CAN15</t>
  </si>
  <si>
    <t>Mathieu Choinière</t>
  </si>
  <si>
    <t>CAN16</t>
  </si>
  <si>
    <t>Niko Sigur</t>
  </si>
  <si>
    <t>CAN17</t>
  </si>
  <si>
    <t>Tajon Buchanan</t>
  </si>
  <si>
    <t>CAN18</t>
  </si>
  <si>
    <t>Liam Millar</t>
  </si>
  <si>
    <t>CAN19</t>
  </si>
  <si>
    <t>Cyle Larin</t>
  </si>
  <si>
    <t>CAN20</t>
  </si>
  <si>
    <t>Jonathan David</t>
  </si>
  <si>
    <t>BIH1</t>
  </si>
  <si>
    <t>BIH2</t>
  </si>
  <si>
    <t>Nikola Vasilj</t>
  </si>
  <si>
    <t>BIH3</t>
  </si>
  <si>
    <t>Amar Dedić</t>
  </si>
  <si>
    <t>BIH4</t>
  </si>
  <si>
    <t>Sead Kolašinac</t>
  </si>
  <si>
    <t>BIH5</t>
  </si>
  <si>
    <t>Tarik Muharemović</t>
  </si>
  <si>
    <t>BIH6</t>
  </si>
  <si>
    <t>Nihad Mujakić</t>
  </si>
  <si>
    <t>BIH7</t>
  </si>
  <si>
    <t>Nikola Katić</t>
  </si>
  <si>
    <t>BIH8</t>
  </si>
  <si>
    <t>Amir Hadžiahmetović</t>
  </si>
  <si>
    <t>BIH9</t>
  </si>
  <si>
    <t>Benjamin Tahirović</t>
  </si>
  <si>
    <t>BIH10</t>
  </si>
  <si>
    <t>Armin Gigović</t>
  </si>
  <si>
    <t>BIH11</t>
  </si>
  <si>
    <t>Ivan Šunjić</t>
  </si>
  <si>
    <t>BIH12</t>
  </si>
  <si>
    <t>Ivan Bašić</t>
  </si>
  <si>
    <t>BIH13</t>
  </si>
  <si>
    <t>BIH14</t>
  </si>
  <si>
    <t>Dženis Burnić</t>
  </si>
  <si>
    <t>BIH15</t>
  </si>
  <si>
    <t>Esmir Bajraktarevic</t>
  </si>
  <si>
    <t>BIH16</t>
  </si>
  <si>
    <t>Amar Memić</t>
  </si>
  <si>
    <t>BIH17</t>
  </si>
  <si>
    <t>Ermedin Demirović</t>
  </si>
  <si>
    <t>BIH18</t>
  </si>
  <si>
    <t>Edin Džeko</t>
  </si>
  <si>
    <t>BIH19</t>
  </si>
  <si>
    <t>Samed Baždar</t>
  </si>
  <si>
    <t>BIH20</t>
  </si>
  <si>
    <t>Haris Tabaković</t>
  </si>
  <si>
    <t>QAT1</t>
  </si>
  <si>
    <t>QAT2</t>
  </si>
  <si>
    <t>Meshaal Barsham</t>
  </si>
  <si>
    <t>QAT3</t>
  </si>
  <si>
    <t>Sultan Albrake</t>
  </si>
  <si>
    <t>QAT4</t>
  </si>
  <si>
    <t>Lucas Mendes</t>
  </si>
  <si>
    <t>QAT5</t>
  </si>
  <si>
    <t>Homam Ahmed</t>
  </si>
  <si>
    <t>QAT6</t>
  </si>
  <si>
    <t>Boualem Khoukhi</t>
  </si>
  <si>
    <t>QAT7</t>
  </si>
  <si>
    <t>Pedro Miguel</t>
  </si>
  <si>
    <t>QAT8</t>
  </si>
  <si>
    <t>Tarek Salman</t>
  </si>
  <si>
    <t>QAT9</t>
  </si>
  <si>
    <t>Mohammed Mannai</t>
  </si>
  <si>
    <t>QAT10</t>
  </si>
  <si>
    <t>Karim Boudiaf</t>
  </si>
  <si>
    <t>QAT11</t>
  </si>
  <si>
    <t>Assim Madibo</t>
  </si>
  <si>
    <t>QAT12</t>
  </si>
  <si>
    <t>Hamed Fatehi</t>
  </si>
  <si>
    <t>QAT13</t>
  </si>
  <si>
    <t>QAT14</t>
  </si>
  <si>
    <t>Mohammed Waad</t>
  </si>
  <si>
    <t>QAT15</t>
  </si>
  <si>
    <t>Abdulaziz Hatem</t>
  </si>
  <si>
    <t>QAT16</t>
  </si>
  <si>
    <t>Hassan Al-Haydos</t>
  </si>
  <si>
    <t>QAT17</t>
  </si>
  <si>
    <t>Edmilson Junior</t>
  </si>
  <si>
    <t>QAT18</t>
  </si>
  <si>
    <t>Akram Hassan Afif</t>
  </si>
  <si>
    <t>QAT19</t>
  </si>
  <si>
    <t>Ahmed Al-Ganehi</t>
  </si>
  <si>
    <t>QAT20</t>
  </si>
  <si>
    <t>Almoez Ali</t>
  </si>
  <si>
    <t>SUI1</t>
  </si>
  <si>
    <t>SUI2</t>
  </si>
  <si>
    <t>Gregor Kobel</t>
  </si>
  <si>
    <t>SUI3</t>
  </si>
  <si>
    <t>Yvon Mvogo</t>
  </si>
  <si>
    <t>SUI4</t>
  </si>
  <si>
    <t>Manuel Akanji</t>
  </si>
  <si>
    <t>SUI5</t>
  </si>
  <si>
    <t>Ricardo Rodríguez</t>
  </si>
  <si>
    <t>SUI6</t>
  </si>
  <si>
    <t>Nico Elvedi</t>
  </si>
  <si>
    <t>SUI7</t>
  </si>
  <si>
    <t>Aurèle Amenda</t>
  </si>
  <si>
    <t>SUI8</t>
  </si>
  <si>
    <t>Silvan Widmer</t>
  </si>
  <si>
    <t>SUI9</t>
  </si>
  <si>
    <t>Granit Xhaka</t>
  </si>
  <si>
    <t>SUI10</t>
  </si>
  <si>
    <t>Denis Zakaria</t>
  </si>
  <si>
    <t>SUI11</t>
  </si>
  <si>
    <t>Remo Freuler</t>
  </si>
  <si>
    <t>SUI12</t>
  </si>
  <si>
    <t>Fabian Rieder</t>
  </si>
  <si>
    <t>SUI13</t>
  </si>
  <si>
    <t>SUI14</t>
  </si>
  <si>
    <t>Ardon Jashari</t>
  </si>
  <si>
    <t>SUI15</t>
  </si>
  <si>
    <t>Johan Manzambi</t>
  </si>
  <si>
    <t>SUI16</t>
  </si>
  <si>
    <t>Michel Aebischer</t>
  </si>
  <si>
    <t>SUI17</t>
  </si>
  <si>
    <t>Breel Embolo</t>
  </si>
  <si>
    <t>SUI18</t>
  </si>
  <si>
    <t>Rubén Vargas</t>
  </si>
  <si>
    <t>SUI19</t>
  </si>
  <si>
    <t>Dan Ndoye</t>
  </si>
  <si>
    <t>SUI20</t>
  </si>
  <si>
    <t>Zeki Amdouni</t>
  </si>
  <si>
    <t>BRA1</t>
  </si>
  <si>
    <t>BRA2</t>
  </si>
  <si>
    <t>Alisson</t>
  </si>
  <si>
    <t>BRA3</t>
  </si>
  <si>
    <t>Bento</t>
  </si>
  <si>
    <t>BRA4</t>
  </si>
  <si>
    <t>Marquinhos</t>
  </si>
  <si>
    <t>BRA5</t>
  </si>
  <si>
    <t>Éder Militão</t>
  </si>
  <si>
    <t>BRA6</t>
  </si>
  <si>
    <t>Gabriel Magalhães</t>
  </si>
  <si>
    <t>BRA7</t>
  </si>
  <si>
    <t>Danilo</t>
  </si>
  <si>
    <t>BRA8</t>
  </si>
  <si>
    <t>Wesley</t>
  </si>
  <si>
    <t>BRA9</t>
  </si>
  <si>
    <t>Lucas Paquetá</t>
  </si>
  <si>
    <t>BRA10</t>
  </si>
  <si>
    <t>Casemiro</t>
  </si>
  <si>
    <t>BRA11</t>
  </si>
  <si>
    <t>Bruno Guimarães</t>
  </si>
  <si>
    <t>BRA12</t>
  </si>
  <si>
    <t>Luiz Henrique</t>
  </si>
  <si>
    <t>BRA13</t>
  </si>
  <si>
    <t>BRA14</t>
  </si>
  <si>
    <t>Vinicius Júnior</t>
  </si>
  <si>
    <t>BRA15</t>
  </si>
  <si>
    <t>Rodrygo</t>
  </si>
  <si>
    <t>BRA16</t>
  </si>
  <si>
    <t>João Pedro</t>
  </si>
  <si>
    <t>BRA17</t>
  </si>
  <si>
    <t>Matheus Cunha</t>
  </si>
  <si>
    <t>BRA18</t>
  </si>
  <si>
    <t>Gabriel Martinelli</t>
  </si>
  <si>
    <t>BRA19</t>
  </si>
  <si>
    <t>Raphinha</t>
  </si>
  <si>
    <t>BRA20</t>
  </si>
  <si>
    <t>Estévão</t>
  </si>
  <si>
    <t>MAR1</t>
  </si>
  <si>
    <t>MAR2</t>
  </si>
  <si>
    <t>Yassine Bounou</t>
  </si>
  <si>
    <t>MAR3</t>
  </si>
  <si>
    <t>Munir El Kajoui</t>
  </si>
  <si>
    <t>MAR4</t>
  </si>
  <si>
    <t>Achraf Hakimi</t>
  </si>
  <si>
    <t>MAR5</t>
  </si>
  <si>
    <t>Noussair Mazraoui</t>
  </si>
  <si>
    <t>MAR6</t>
  </si>
  <si>
    <t>Nayef Aguerd</t>
  </si>
  <si>
    <t>MAR7</t>
  </si>
  <si>
    <t>Romain Saïss</t>
  </si>
  <si>
    <t>MAR8</t>
  </si>
  <si>
    <t>Jawad El Yamiq</t>
  </si>
  <si>
    <t>MAR9</t>
  </si>
  <si>
    <t>Adam Masina</t>
  </si>
  <si>
    <t>MAR10</t>
  </si>
  <si>
    <t>Sofyan Amrabat</t>
  </si>
  <si>
    <t>MAR11</t>
  </si>
  <si>
    <t>Azzedine Ounahi</t>
  </si>
  <si>
    <t>MAR12</t>
  </si>
  <si>
    <t>Eliesse Ben Seghir</t>
  </si>
  <si>
    <t>MAR13</t>
  </si>
  <si>
    <t>MAR14</t>
  </si>
  <si>
    <t>Bilal El Khannouss</t>
  </si>
  <si>
    <t>MAR15</t>
  </si>
  <si>
    <t>Ismael Saibari</t>
  </si>
  <si>
    <t>MAR16</t>
  </si>
  <si>
    <t>Youssef En-Nesyri</t>
  </si>
  <si>
    <t>MAR17</t>
  </si>
  <si>
    <t>Abde Ezzalzouli</t>
  </si>
  <si>
    <t>MAR18</t>
  </si>
  <si>
    <t>Soufiane Rahimi</t>
  </si>
  <si>
    <t>MAR19</t>
  </si>
  <si>
    <t>Brahim Díaz</t>
  </si>
  <si>
    <t>MAR20</t>
  </si>
  <si>
    <t>Ayoub El Kaabi</t>
  </si>
  <si>
    <t>HAI1</t>
  </si>
  <si>
    <t>HAI2</t>
  </si>
  <si>
    <t>Johny Placide</t>
  </si>
  <si>
    <t>HAI3</t>
  </si>
  <si>
    <t>Carlens Arcus</t>
  </si>
  <si>
    <t>HAI4</t>
  </si>
  <si>
    <t>Martin Expérience</t>
  </si>
  <si>
    <t>HAI5</t>
  </si>
  <si>
    <t>Jean-Kévin Duverne</t>
  </si>
  <si>
    <t>HAI6</t>
  </si>
  <si>
    <t>Ricardo Adé</t>
  </si>
  <si>
    <t>HAI7</t>
  </si>
  <si>
    <t>Duke Lacroix</t>
  </si>
  <si>
    <t>HAI8</t>
  </si>
  <si>
    <t>Garven Metusala</t>
  </si>
  <si>
    <t>HAI9</t>
  </si>
  <si>
    <t>Hannes Delcroix</t>
  </si>
  <si>
    <t>HAI10</t>
  </si>
  <si>
    <t>Leverton Pierre</t>
  </si>
  <si>
    <t>HAI11</t>
  </si>
  <si>
    <t>Danley Jean Jacques</t>
  </si>
  <si>
    <t>HAI12</t>
  </si>
  <si>
    <t>Jean-Ricner Bellegarde</t>
  </si>
  <si>
    <t>HAI13</t>
  </si>
  <si>
    <t>HAI14</t>
  </si>
  <si>
    <t>Christopher Attys</t>
  </si>
  <si>
    <t>HAI15</t>
  </si>
  <si>
    <t>Derrick Etienne Jr.</t>
  </si>
  <si>
    <t>HAI16</t>
  </si>
  <si>
    <t>Josué Casimir</t>
  </si>
  <si>
    <t>HAI17</t>
  </si>
  <si>
    <t>Ruben Providence</t>
  </si>
  <si>
    <t>HAI18</t>
  </si>
  <si>
    <t>Duckens Nazon</t>
  </si>
  <si>
    <t>HAI19</t>
  </si>
  <si>
    <t>Louicius Deedson</t>
  </si>
  <si>
    <t>HAI20</t>
  </si>
  <si>
    <t>Frantzdy Pierrot</t>
  </si>
  <si>
    <t>SCO1</t>
  </si>
  <si>
    <t>SCO2</t>
  </si>
  <si>
    <t>Angus Gunn</t>
  </si>
  <si>
    <t>SCO3</t>
  </si>
  <si>
    <t>Jack Hendry</t>
  </si>
  <si>
    <t>SCO4</t>
  </si>
  <si>
    <t>Kieran Tierney</t>
  </si>
  <si>
    <t>SCO5</t>
  </si>
  <si>
    <t>Aaron Hickey</t>
  </si>
  <si>
    <t>SCO6</t>
  </si>
  <si>
    <t>Andrew Robertson</t>
  </si>
  <si>
    <t>SCO7</t>
  </si>
  <si>
    <t>Scott McKenna</t>
  </si>
  <si>
    <t>SCO8</t>
  </si>
  <si>
    <t>John Souttar</t>
  </si>
  <si>
    <t>SCO9</t>
  </si>
  <si>
    <t>Anthony Ralston</t>
  </si>
  <si>
    <t>SCO10</t>
  </si>
  <si>
    <t>Grant Hanley</t>
  </si>
  <si>
    <t>SCO11</t>
  </si>
  <si>
    <t>Scott McTominay</t>
  </si>
  <si>
    <t>SCO12</t>
  </si>
  <si>
    <t>Billy Gilmour</t>
  </si>
  <si>
    <t>SCO13</t>
  </si>
  <si>
    <t>SCO14</t>
  </si>
  <si>
    <t>Lewis Ferguson</t>
  </si>
  <si>
    <t>SCO15</t>
  </si>
  <si>
    <t>Ryan Christie</t>
  </si>
  <si>
    <t>SCO16</t>
  </si>
  <si>
    <t>Kenny McLean</t>
  </si>
  <si>
    <t>SCO17</t>
  </si>
  <si>
    <t>John McGinn</t>
  </si>
  <si>
    <t>SCO18</t>
  </si>
  <si>
    <t>Lyndon Dykes</t>
  </si>
  <si>
    <t>SCO19</t>
  </si>
  <si>
    <t>Ché Adams</t>
  </si>
  <si>
    <t>SCO20</t>
  </si>
  <si>
    <t>Ben Gannon-Doak</t>
  </si>
  <si>
    <t>USA1</t>
  </si>
  <si>
    <t>USA2</t>
  </si>
  <si>
    <t>Matt Freese</t>
  </si>
  <si>
    <t>USA3</t>
  </si>
  <si>
    <t>Chris Richards</t>
  </si>
  <si>
    <t>USA4</t>
  </si>
  <si>
    <t>Tim Ream</t>
  </si>
  <si>
    <t>USA5</t>
  </si>
  <si>
    <t>Mark McKenzie</t>
  </si>
  <si>
    <t>USA6</t>
  </si>
  <si>
    <t>Alex Freeman</t>
  </si>
  <si>
    <t>USA7</t>
  </si>
  <si>
    <t>Antonee Robinson</t>
  </si>
  <si>
    <t>USA8</t>
  </si>
  <si>
    <t>Tyler Adams</t>
  </si>
  <si>
    <t>USA9</t>
  </si>
  <si>
    <t>Tanner Tessmann</t>
  </si>
  <si>
    <t>USA10</t>
  </si>
  <si>
    <t>USA11</t>
  </si>
  <si>
    <t>Christian Roldan</t>
  </si>
  <si>
    <t>USA12</t>
  </si>
  <si>
    <t>Timothy Weah</t>
  </si>
  <si>
    <t>USA13</t>
  </si>
  <si>
    <t>USA14</t>
  </si>
  <si>
    <t>Diego Luna</t>
  </si>
  <si>
    <t>USA15</t>
  </si>
  <si>
    <t>Malik Tillman</t>
  </si>
  <si>
    <t>USA16</t>
  </si>
  <si>
    <t>Christian Pulisic</t>
  </si>
  <si>
    <t>USA17</t>
  </si>
  <si>
    <t>Brenden Aaronson</t>
  </si>
  <si>
    <t>USA18</t>
  </si>
  <si>
    <t>Ricardo Pepi</t>
  </si>
  <si>
    <t>USA19</t>
  </si>
  <si>
    <t>Haji Wright</t>
  </si>
  <si>
    <t>USA20</t>
  </si>
  <si>
    <t>Folarin Balogun</t>
  </si>
  <si>
    <t>PAR1</t>
  </si>
  <si>
    <t>PAR2</t>
  </si>
  <si>
    <t>Roberto Fernández</t>
  </si>
  <si>
    <t>PAR3</t>
  </si>
  <si>
    <t>Orlando Gill</t>
  </si>
  <si>
    <t>PAR4</t>
  </si>
  <si>
    <t>Diego Gómez</t>
  </si>
  <si>
    <t>PAR5</t>
  </si>
  <si>
    <t>Fabián Balbuena</t>
  </si>
  <si>
    <t>PAR6</t>
  </si>
  <si>
    <t>Juan José Cáceres</t>
  </si>
  <si>
    <t>PAR7</t>
  </si>
  <si>
    <t>Omar Alderete</t>
  </si>
  <si>
    <t>PAR8</t>
  </si>
  <si>
    <t>Júnior Alonso</t>
  </si>
  <si>
    <t>PAR9</t>
  </si>
  <si>
    <t>Mathías Villasanti</t>
  </si>
  <si>
    <t>PAR10</t>
  </si>
  <si>
    <t>PAR11</t>
  </si>
  <si>
    <t>Damián Bobadilla</t>
  </si>
  <si>
    <t>PAR12</t>
  </si>
  <si>
    <t>Andrés Cubas</t>
  </si>
  <si>
    <t>PAR13</t>
  </si>
  <si>
    <t>PAR14</t>
  </si>
  <si>
    <t>Matías Galarza Fonda</t>
  </si>
  <si>
    <t>PAR15</t>
  </si>
  <si>
    <t>Julio Enciso</t>
  </si>
  <si>
    <t>PAR16</t>
  </si>
  <si>
    <t>Alejandro Romero Gamarra</t>
  </si>
  <si>
    <t>PAR17</t>
  </si>
  <si>
    <t>Miguel Almirón</t>
  </si>
  <si>
    <t>PAR18</t>
  </si>
  <si>
    <t>Ramón Sosa</t>
  </si>
  <si>
    <t>PAR19</t>
  </si>
  <si>
    <t>Ángel Romero</t>
  </si>
  <si>
    <t>PAR20</t>
  </si>
  <si>
    <t>Antonio Sanabria</t>
  </si>
  <si>
    <t>AUS1</t>
  </si>
  <si>
    <t>AUS2</t>
  </si>
  <si>
    <t>Mathew Ryan</t>
  </si>
  <si>
    <t>AUS3</t>
  </si>
  <si>
    <t>Joe Gauci</t>
  </si>
  <si>
    <t>AUS4</t>
  </si>
  <si>
    <t>Harry Souttar</t>
  </si>
  <si>
    <t>AUS5</t>
  </si>
  <si>
    <t>Alessandro Circati</t>
  </si>
  <si>
    <t>AUS6</t>
  </si>
  <si>
    <t>Jordan Bos</t>
  </si>
  <si>
    <t>AUS7</t>
  </si>
  <si>
    <t>Aziz Behich</t>
  </si>
  <si>
    <t>AUS8</t>
  </si>
  <si>
    <t>Cameron Burgess</t>
  </si>
  <si>
    <t>AUS9</t>
  </si>
  <si>
    <t>Lewis Miller</t>
  </si>
  <si>
    <t>AUS10</t>
  </si>
  <si>
    <t>Milos Degenek</t>
  </si>
  <si>
    <t>AUS11</t>
  </si>
  <si>
    <t>Jackson Irvine</t>
  </si>
  <si>
    <t>AUS12</t>
  </si>
  <si>
    <t>Riley McGree</t>
  </si>
  <si>
    <t>AUS13</t>
  </si>
  <si>
    <t>AUS14</t>
  </si>
  <si>
    <t>Aiden O'Neill</t>
  </si>
  <si>
    <t>AUS15</t>
  </si>
  <si>
    <t>Connor Metcalfe</t>
  </si>
  <si>
    <t>AUS16</t>
  </si>
  <si>
    <t>Patrick Yazbek</t>
  </si>
  <si>
    <t>AUS17</t>
  </si>
  <si>
    <t>Craig Goodwin</t>
  </si>
  <si>
    <t>AUS18</t>
  </si>
  <si>
    <t>Kusini Yengi</t>
  </si>
  <si>
    <t>AUS19</t>
  </si>
  <si>
    <t>Nestory Irankunda</t>
  </si>
  <si>
    <t>AUS20</t>
  </si>
  <si>
    <t>Mohamed Touré</t>
  </si>
  <si>
    <t>TUR1</t>
  </si>
  <si>
    <t>TUR2</t>
  </si>
  <si>
    <t>Uğurcan Çakır</t>
  </si>
  <si>
    <t>TUR3</t>
  </si>
  <si>
    <t>Mert Müldür</t>
  </si>
  <si>
    <t>TUR4</t>
  </si>
  <si>
    <t>Zeki Çelik</t>
  </si>
  <si>
    <t>TUR5</t>
  </si>
  <si>
    <t>Abdülkerim Bardakçı</t>
  </si>
  <si>
    <t>TUR6</t>
  </si>
  <si>
    <t>Çağlar Söyüncü</t>
  </si>
  <si>
    <t>TUR7</t>
  </si>
  <si>
    <t>Merih Demiral</t>
  </si>
  <si>
    <t>TUR8</t>
  </si>
  <si>
    <t>Ferdi Kadıoğlu</t>
  </si>
  <si>
    <t>TUR9</t>
  </si>
  <si>
    <t>Kaan Ayhan</t>
  </si>
  <si>
    <t>TUR10</t>
  </si>
  <si>
    <t>Ismail Yüksek</t>
  </si>
  <si>
    <t>TUR11</t>
  </si>
  <si>
    <t>Hakan Çalhanoğlu</t>
  </si>
  <si>
    <t>TUR12</t>
  </si>
  <si>
    <t>Orkun Kökçü</t>
  </si>
  <si>
    <t>TUR13</t>
  </si>
  <si>
    <t>TUR14</t>
  </si>
  <si>
    <t>Arda Güler</t>
  </si>
  <si>
    <t>TUR15</t>
  </si>
  <si>
    <t>Irfan Can Kahveci</t>
  </si>
  <si>
    <t>TUR16</t>
  </si>
  <si>
    <t>Yunus Akgün</t>
  </si>
  <si>
    <t>TUR17</t>
  </si>
  <si>
    <t>Can Uzun</t>
  </si>
  <si>
    <t>TUR18</t>
  </si>
  <si>
    <t>Barış Alper Yılmaz</t>
  </si>
  <si>
    <t>TUR19</t>
  </si>
  <si>
    <t>Kerem Aktürkoğlu</t>
  </si>
  <si>
    <t>TUR20</t>
  </si>
  <si>
    <t>Kenan Yildiz</t>
  </si>
  <si>
    <t>GER1</t>
  </si>
  <si>
    <t>GER2</t>
  </si>
  <si>
    <t>Marc-André ter Stegen</t>
  </si>
  <si>
    <t>GER3</t>
  </si>
  <si>
    <t>Jonathan Tah</t>
  </si>
  <si>
    <t>GER4</t>
  </si>
  <si>
    <t>David Raum</t>
  </si>
  <si>
    <t>GER5</t>
  </si>
  <si>
    <t>Nico Schlotterbeck</t>
  </si>
  <si>
    <t>GER6</t>
  </si>
  <si>
    <t>Antonio Rüdiger</t>
  </si>
  <si>
    <t>GER7</t>
  </si>
  <si>
    <t>Waldemar Anton</t>
  </si>
  <si>
    <t>GER8</t>
  </si>
  <si>
    <t>Ridle Baku</t>
  </si>
  <si>
    <t>GER9</t>
  </si>
  <si>
    <t>Maximilian Mittelstadt</t>
  </si>
  <si>
    <t>GER10</t>
  </si>
  <si>
    <t>Joshua Kimmich</t>
  </si>
  <si>
    <t>GER11</t>
  </si>
  <si>
    <t>Florian Wirtz</t>
  </si>
  <si>
    <t>GER12</t>
  </si>
  <si>
    <t>Felix Nmecha</t>
  </si>
  <si>
    <t>GER13</t>
  </si>
  <si>
    <t>GER14</t>
  </si>
  <si>
    <t>Leon Goretzka</t>
  </si>
  <si>
    <t>GER15</t>
  </si>
  <si>
    <t>Jamal Musiala</t>
  </si>
  <si>
    <t>GER16</t>
  </si>
  <si>
    <t>Serge Gnabry</t>
  </si>
  <si>
    <t>GER17</t>
  </si>
  <si>
    <t>Kai Havertz</t>
  </si>
  <si>
    <t>GER18</t>
  </si>
  <si>
    <t>Leroy Sané</t>
  </si>
  <si>
    <t>GER19</t>
  </si>
  <si>
    <t>Karim Adeyemi</t>
  </si>
  <si>
    <t>GER20</t>
  </si>
  <si>
    <t>Nick Woltemade</t>
  </si>
  <si>
    <t>CUW1</t>
  </si>
  <si>
    <t>CUW2</t>
  </si>
  <si>
    <t>Eloy Room</t>
  </si>
  <si>
    <t>CUW3</t>
  </si>
  <si>
    <t>Armando Obispo</t>
  </si>
  <si>
    <t>CUW4</t>
  </si>
  <si>
    <t>Sherel Floranus</t>
  </si>
  <si>
    <t>CUW5</t>
  </si>
  <si>
    <t>Jurien Gaari</t>
  </si>
  <si>
    <t>CUW6</t>
  </si>
  <si>
    <t>Joshua Brenet</t>
  </si>
  <si>
    <t>CUW7</t>
  </si>
  <si>
    <t>Roshon Van Eijma</t>
  </si>
  <si>
    <t>CUW8</t>
  </si>
  <si>
    <t>Shurandy Sambo</t>
  </si>
  <si>
    <t>CUW9</t>
  </si>
  <si>
    <t>Livano Comenencia</t>
  </si>
  <si>
    <t>CUW10</t>
  </si>
  <si>
    <t>Godfried Roemeratoe</t>
  </si>
  <si>
    <t>CUW11</t>
  </si>
  <si>
    <t>Juninho Bacuna</t>
  </si>
  <si>
    <t>CUW12</t>
  </si>
  <si>
    <t>Leandro Bacuna</t>
  </si>
  <si>
    <t>CUW13</t>
  </si>
  <si>
    <t>CUW14</t>
  </si>
  <si>
    <t>Tahith Chong</t>
  </si>
  <si>
    <t>CUW15</t>
  </si>
  <si>
    <t>Kenji Gorré</t>
  </si>
  <si>
    <t>CUW16</t>
  </si>
  <si>
    <t>Jearl Margaritha</t>
  </si>
  <si>
    <t>CUW17</t>
  </si>
  <si>
    <t>Jürgen Locadia</t>
  </si>
  <si>
    <t>CUW18</t>
  </si>
  <si>
    <t>Jeremy Antonisse</t>
  </si>
  <si>
    <t>CUW19</t>
  </si>
  <si>
    <t>Gervane Kastaneer</t>
  </si>
  <si>
    <t>CUW20</t>
  </si>
  <si>
    <t>Sontje Hansen</t>
  </si>
  <si>
    <t>GRUPO E · Côte d'Ivoire</t>
  </si>
  <si>
    <t>CIV1</t>
  </si>
  <si>
    <t>CIV2</t>
  </si>
  <si>
    <t>Yahia Fofana</t>
  </si>
  <si>
    <t>CIV3</t>
  </si>
  <si>
    <t>Ghislain Konan</t>
  </si>
  <si>
    <t>CIV4</t>
  </si>
  <si>
    <t>Wilfried Singo</t>
  </si>
  <si>
    <t>CIV5</t>
  </si>
  <si>
    <t>Odilon Kossounou</t>
  </si>
  <si>
    <t>CIV6</t>
  </si>
  <si>
    <t>Evan Ndicka</t>
  </si>
  <si>
    <t>CIV7</t>
  </si>
  <si>
    <t>Willy Boly</t>
  </si>
  <si>
    <t>CIV8</t>
  </si>
  <si>
    <t>Emmanuel Agbadou</t>
  </si>
  <si>
    <t>CIV9</t>
  </si>
  <si>
    <t>Ousmane Diomande</t>
  </si>
  <si>
    <t>CIV10</t>
  </si>
  <si>
    <t>Franck Kessié</t>
  </si>
  <si>
    <t>CIV11</t>
  </si>
  <si>
    <t>Seko Fofana</t>
  </si>
  <si>
    <t>CIV12</t>
  </si>
  <si>
    <t>Ibrahim Sangaré</t>
  </si>
  <si>
    <t>CIV13</t>
  </si>
  <si>
    <t>CIV14</t>
  </si>
  <si>
    <t>Jean-Philippe Gbamin</t>
  </si>
  <si>
    <t>CIV15</t>
  </si>
  <si>
    <t>Amad Diallo</t>
  </si>
  <si>
    <t>CIV16</t>
  </si>
  <si>
    <t>Sébastien Haller</t>
  </si>
  <si>
    <t>CIV17</t>
  </si>
  <si>
    <t>Simon Adingra</t>
  </si>
  <si>
    <t>CIV18</t>
  </si>
  <si>
    <t>Yan Diomande</t>
  </si>
  <si>
    <t>CIV19</t>
  </si>
  <si>
    <t>Evann Guessand</t>
  </si>
  <si>
    <t>CIV20</t>
  </si>
  <si>
    <t>Oumar Diakité</t>
  </si>
  <si>
    <t>ECU1</t>
  </si>
  <si>
    <t>ECU2</t>
  </si>
  <si>
    <t>Hernán Galíndez</t>
  </si>
  <si>
    <t>ECU3</t>
  </si>
  <si>
    <t>Gonzalo Valle</t>
  </si>
  <si>
    <t>ECU4</t>
  </si>
  <si>
    <t>Piero Hincapié</t>
  </si>
  <si>
    <t>ECU5</t>
  </si>
  <si>
    <t>Pervis Estupiñán</t>
  </si>
  <si>
    <t>ECU6</t>
  </si>
  <si>
    <t>Willian Pacho</t>
  </si>
  <si>
    <t>ECU7</t>
  </si>
  <si>
    <t>Ángelo Preciado</t>
  </si>
  <si>
    <t>ECU8</t>
  </si>
  <si>
    <t>Joel Ordóñez</t>
  </si>
  <si>
    <t>ECU9</t>
  </si>
  <si>
    <t>Moisés Caicedo</t>
  </si>
  <si>
    <t>ECU10</t>
  </si>
  <si>
    <t>Alan Franco</t>
  </si>
  <si>
    <t>ECU11</t>
  </si>
  <si>
    <t>Kendry Páez</t>
  </si>
  <si>
    <t>ECU12</t>
  </si>
  <si>
    <t>Pedro Vite</t>
  </si>
  <si>
    <t>ECU13</t>
  </si>
  <si>
    <t>ECU14</t>
  </si>
  <si>
    <t>John Yeboah</t>
  </si>
  <si>
    <t>ECU15</t>
  </si>
  <si>
    <t>Leonardo Campana</t>
  </si>
  <si>
    <t>ECU16</t>
  </si>
  <si>
    <t>Gonzalo Plata</t>
  </si>
  <si>
    <t>ECU17</t>
  </si>
  <si>
    <t>Nilson Angulo</t>
  </si>
  <si>
    <t>ECU18</t>
  </si>
  <si>
    <t>Alan Minda</t>
  </si>
  <si>
    <t>ECU19</t>
  </si>
  <si>
    <t>Kevin Rodríguez</t>
  </si>
  <si>
    <t>ECU20</t>
  </si>
  <si>
    <t>Enner Valencia</t>
  </si>
  <si>
    <t>NED1</t>
  </si>
  <si>
    <t>NED2</t>
  </si>
  <si>
    <t>Bart Verbruggen</t>
  </si>
  <si>
    <t>NED3</t>
  </si>
  <si>
    <t>Virgil van Dijk</t>
  </si>
  <si>
    <t>NED4</t>
  </si>
  <si>
    <t>Micky van de Ven</t>
  </si>
  <si>
    <t>NED5</t>
  </si>
  <si>
    <t>Jurrien Timber</t>
  </si>
  <si>
    <t>NED6</t>
  </si>
  <si>
    <t>Denzel Dumfries</t>
  </si>
  <si>
    <t>NED7</t>
  </si>
  <si>
    <t>Nathan Aké</t>
  </si>
  <si>
    <t>NED8</t>
  </si>
  <si>
    <t>Jeremie Frimpong</t>
  </si>
  <si>
    <t>NED9</t>
  </si>
  <si>
    <t>Jan Paul van Hecke</t>
  </si>
  <si>
    <t>NED10</t>
  </si>
  <si>
    <t>Tijjani Reijnders</t>
  </si>
  <si>
    <t>NED11</t>
  </si>
  <si>
    <t>Ryan Gravenberch</t>
  </si>
  <si>
    <t>NED12</t>
  </si>
  <si>
    <t>Teun Koopmeiners</t>
  </si>
  <si>
    <t>NED13</t>
  </si>
  <si>
    <t>NED14</t>
  </si>
  <si>
    <t>Frenkie de Jong</t>
  </si>
  <si>
    <t>NED15</t>
  </si>
  <si>
    <t>Xavi Simons</t>
  </si>
  <si>
    <t>NED16</t>
  </si>
  <si>
    <t>Justin Kluivert</t>
  </si>
  <si>
    <t>NED17</t>
  </si>
  <si>
    <t>Memphis Depay</t>
  </si>
  <si>
    <t>NED18</t>
  </si>
  <si>
    <t>Donyell Malen</t>
  </si>
  <si>
    <t>NED19</t>
  </si>
  <si>
    <t>Wout Weghorst</t>
  </si>
  <si>
    <t>NED20</t>
  </si>
  <si>
    <t>Cody Gakpo</t>
  </si>
  <si>
    <t>JPN1</t>
  </si>
  <si>
    <t>JPN2</t>
  </si>
  <si>
    <t>Zion Suzuki</t>
  </si>
  <si>
    <t>JPN3</t>
  </si>
  <si>
    <t>Henry Heroki Mochizuki</t>
  </si>
  <si>
    <t>JPN4</t>
  </si>
  <si>
    <t>Ayumu Seko</t>
  </si>
  <si>
    <t>JPN5</t>
  </si>
  <si>
    <t>Junnosuke Suzuki</t>
  </si>
  <si>
    <t>JPN6</t>
  </si>
  <si>
    <t>Shogo Taniguchi</t>
  </si>
  <si>
    <t>JPN7</t>
  </si>
  <si>
    <t>Tsuyoshi Watanabe</t>
  </si>
  <si>
    <t>JPN8</t>
  </si>
  <si>
    <t>Kaishu Sano</t>
  </si>
  <si>
    <t>JPN9</t>
  </si>
  <si>
    <t>Yuki Soma</t>
  </si>
  <si>
    <t>JPN10</t>
  </si>
  <si>
    <t>Ao Tanaka</t>
  </si>
  <si>
    <t>JPN11</t>
  </si>
  <si>
    <t>Daichi Kamada</t>
  </si>
  <si>
    <t>JPN12</t>
  </si>
  <si>
    <t>Takefusa Kubo</t>
  </si>
  <si>
    <t>JPN13</t>
  </si>
  <si>
    <t>JPN14</t>
  </si>
  <si>
    <t>Ritsu Doan</t>
  </si>
  <si>
    <t>JPN15</t>
  </si>
  <si>
    <t>Keito Nakamura</t>
  </si>
  <si>
    <t>JPN16</t>
  </si>
  <si>
    <t>Takumi Minamino</t>
  </si>
  <si>
    <t>JPN17</t>
  </si>
  <si>
    <t>Shuto Machino</t>
  </si>
  <si>
    <t>JPN18</t>
  </si>
  <si>
    <t>Junya Ito</t>
  </si>
  <si>
    <t>JPN19</t>
  </si>
  <si>
    <t>Koki Ogawa</t>
  </si>
  <si>
    <t>JPN20</t>
  </si>
  <si>
    <t>Ayase Ueda</t>
  </si>
  <si>
    <t>SWE1</t>
  </si>
  <si>
    <t>SWE2</t>
  </si>
  <si>
    <t>Viktor Johansson</t>
  </si>
  <si>
    <t>SWE3</t>
  </si>
  <si>
    <t>Isak Hien</t>
  </si>
  <si>
    <t>SWE4</t>
  </si>
  <si>
    <t>Gabriel Gudmundsson</t>
  </si>
  <si>
    <t>SWE5</t>
  </si>
  <si>
    <t>Emil Holm</t>
  </si>
  <si>
    <t>SWE6</t>
  </si>
  <si>
    <t>Victor Nilsson Lindelöf</t>
  </si>
  <si>
    <t>SWE7</t>
  </si>
  <si>
    <t>Gustaf Lagerbielke</t>
  </si>
  <si>
    <t>SWE8</t>
  </si>
  <si>
    <t>Lucas Bergvall</t>
  </si>
  <si>
    <t>SWE9</t>
  </si>
  <si>
    <t>Hugo Larsson</t>
  </si>
  <si>
    <t>SWE10</t>
  </si>
  <si>
    <t>Jesper Karlström</t>
  </si>
  <si>
    <t>SWE11</t>
  </si>
  <si>
    <t>Yasin Ayari</t>
  </si>
  <si>
    <t>SWE12</t>
  </si>
  <si>
    <t>Mattias Svanberg</t>
  </si>
  <si>
    <t>SWE13</t>
  </si>
  <si>
    <t>SWE14</t>
  </si>
  <si>
    <t>Daniel Svensson</t>
  </si>
  <si>
    <t>SWE15</t>
  </si>
  <si>
    <t>Ken Sema</t>
  </si>
  <si>
    <t>SWE16</t>
  </si>
  <si>
    <t>Roony Bardghji</t>
  </si>
  <si>
    <t>SWE17</t>
  </si>
  <si>
    <t>Dejan Kulusevski</t>
  </si>
  <si>
    <t>SWE18</t>
  </si>
  <si>
    <t>Anthony Elanga</t>
  </si>
  <si>
    <t>SWE19</t>
  </si>
  <si>
    <t>Alexander Isak</t>
  </si>
  <si>
    <t>SWE20</t>
  </si>
  <si>
    <t>Viktor Gyökeres</t>
  </si>
  <si>
    <t>TUN1</t>
  </si>
  <si>
    <t>TUN2</t>
  </si>
  <si>
    <t>Bechir Ben Saïd</t>
  </si>
  <si>
    <t>TUN3</t>
  </si>
  <si>
    <t>Aymen Dahmen</t>
  </si>
  <si>
    <t>TUN4</t>
  </si>
  <si>
    <t>Yan Valery</t>
  </si>
  <si>
    <t>TUN5</t>
  </si>
  <si>
    <t>Montassar Talbi</t>
  </si>
  <si>
    <t>TUN6</t>
  </si>
  <si>
    <t>Yassine Meriah</t>
  </si>
  <si>
    <t>TUN7</t>
  </si>
  <si>
    <t>Ali Abdi</t>
  </si>
  <si>
    <t>TUN8</t>
  </si>
  <si>
    <t>Dylan Bronn</t>
  </si>
  <si>
    <t>TUN9</t>
  </si>
  <si>
    <t>Ellyes Skhiri</t>
  </si>
  <si>
    <t>TUN10</t>
  </si>
  <si>
    <t>Aïssa Laïdouni</t>
  </si>
  <si>
    <t>TUN11</t>
  </si>
  <si>
    <t>Ferjani Sassi</t>
  </si>
  <si>
    <t>TUN12</t>
  </si>
  <si>
    <t>Mohamed Ali Ben Romdhane</t>
  </si>
  <si>
    <t>TUN13</t>
  </si>
  <si>
    <t>TUN14</t>
  </si>
  <si>
    <t>Hannibal Mejbri</t>
  </si>
  <si>
    <t>TUN15</t>
  </si>
  <si>
    <t>Elias Achouri</t>
  </si>
  <si>
    <t>TUN16</t>
  </si>
  <si>
    <t>Elias Saad</t>
  </si>
  <si>
    <t>TUN17</t>
  </si>
  <si>
    <t>Hazem Mastouri</t>
  </si>
  <si>
    <t>TUN18</t>
  </si>
  <si>
    <t>Ismaël Gharbi</t>
  </si>
  <si>
    <t>TUN19</t>
  </si>
  <si>
    <t>Sayfallah Ltaief</t>
  </si>
  <si>
    <t>TUN20</t>
  </si>
  <si>
    <t>Naïm Sliti</t>
  </si>
  <si>
    <t>BEL1</t>
  </si>
  <si>
    <t>BEL2</t>
  </si>
  <si>
    <t>Thibaut Courtois</t>
  </si>
  <si>
    <t>BEL3</t>
  </si>
  <si>
    <t>Arthur Theate</t>
  </si>
  <si>
    <t>BEL4</t>
  </si>
  <si>
    <t>Timothy Castagne</t>
  </si>
  <si>
    <t>BEL5</t>
  </si>
  <si>
    <t>Zeno Debast</t>
  </si>
  <si>
    <t>BEL6</t>
  </si>
  <si>
    <t>Brandon Mechele</t>
  </si>
  <si>
    <t>BEL7</t>
  </si>
  <si>
    <t>Maxim De Cuyper</t>
  </si>
  <si>
    <t>BEL8</t>
  </si>
  <si>
    <t>Thomas Meunier</t>
  </si>
  <si>
    <t>BEL9</t>
  </si>
  <si>
    <t>Youri Tielemans</t>
  </si>
  <si>
    <t>BEL10</t>
  </si>
  <si>
    <t>Amadou Onana</t>
  </si>
  <si>
    <t>BEL11</t>
  </si>
  <si>
    <t>Nicolas Raskin</t>
  </si>
  <si>
    <t>BEL12</t>
  </si>
  <si>
    <t>Alexis Saelemaekers</t>
  </si>
  <si>
    <t>BEL13</t>
  </si>
  <si>
    <t>BEL14</t>
  </si>
  <si>
    <t>Hans Vanaken</t>
  </si>
  <si>
    <t>BEL15</t>
  </si>
  <si>
    <t>Kevin De Bruyne</t>
  </si>
  <si>
    <t>BEL16</t>
  </si>
  <si>
    <t>Jérémy Doku</t>
  </si>
  <si>
    <t>BEL17</t>
  </si>
  <si>
    <t>Charles De Ketelaere</t>
  </si>
  <si>
    <t>BEL18</t>
  </si>
  <si>
    <t>Leandro Trossard</t>
  </si>
  <si>
    <t>BEL19</t>
  </si>
  <si>
    <t>Loïs Openda</t>
  </si>
  <si>
    <t>BEL20</t>
  </si>
  <si>
    <t>Romelu Lukaku</t>
  </si>
  <si>
    <t>EGY1</t>
  </si>
  <si>
    <t>EGY2</t>
  </si>
  <si>
    <t>Mohamed Elshenawy</t>
  </si>
  <si>
    <t>EGY3</t>
  </si>
  <si>
    <t>Mohamed Hany</t>
  </si>
  <si>
    <t>EGY4</t>
  </si>
  <si>
    <t>Mohamed Hamdy</t>
  </si>
  <si>
    <t>EGY5</t>
  </si>
  <si>
    <t>Yasser Ibrahim</t>
  </si>
  <si>
    <t>EGY6</t>
  </si>
  <si>
    <t>Khaled Sobhi</t>
  </si>
  <si>
    <t>EGY7</t>
  </si>
  <si>
    <t>Ramy Rabia</t>
  </si>
  <si>
    <t>EGY8</t>
  </si>
  <si>
    <t>Hossam Abdelmaguid</t>
  </si>
  <si>
    <t>EGY9</t>
  </si>
  <si>
    <t>Ahmed Fatouh</t>
  </si>
  <si>
    <t>EGY10</t>
  </si>
  <si>
    <t>Marwan Attia</t>
  </si>
  <si>
    <t>EGY11</t>
  </si>
  <si>
    <t>Zizo</t>
  </si>
  <si>
    <t>EGY12</t>
  </si>
  <si>
    <t>Hamdy Fathy</t>
  </si>
  <si>
    <t>EGY13</t>
  </si>
  <si>
    <t>EGY14</t>
  </si>
  <si>
    <t>Mohamed Lasheen</t>
  </si>
  <si>
    <t>EGY15</t>
  </si>
  <si>
    <t>Emam Ashour</t>
  </si>
  <si>
    <t>EGY16</t>
  </si>
  <si>
    <t>Osama Faisal</t>
  </si>
  <si>
    <t>EGY17</t>
  </si>
  <si>
    <t>Mohamed Salah</t>
  </si>
  <si>
    <t>EGY18</t>
  </si>
  <si>
    <t>Mostafa Mohamed</t>
  </si>
  <si>
    <t>EGY19</t>
  </si>
  <si>
    <t>Trezeguet</t>
  </si>
  <si>
    <t>EGY20</t>
  </si>
  <si>
    <t>Omar Marmoush</t>
  </si>
  <si>
    <t>IRN1</t>
  </si>
  <si>
    <t>IRN2</t>
  </si>
  <si>
    <t>Alireza Beiranvand</t>
  </si>
  <si>
    <t>IRN3</t>
  </si>
  <si>
    <t>Morteza Pouraliganji</t>
  </si>
  <si>
    <t>IRN4</t>
  </si>
  <si>
    <t>Ehsan Hajsafi</t>
  </si>
  <si>
    <t>IRN5</t>
  </si>
  <si>
    <t>Milad Mohammadi</t>
  </si>
  <si>
    <t>IRN6</t>
  </si>
  <si>
    <t>Shojae Khalilzadeh</t>
  </si>
  <si>
    <t>IRN7</t>
  </si>
  <si>
    <t>Ramin Rezaeian</t>
  </si>
  <si>
    <t>IRN8</t>
  </si>
  <si>
    <t>Hossein Kanaani</t>
  </si>
  <si>
    <t>IRN9</t>
  </si>
  <si>
    <t>Sadegh Moharrami</t>
  </si>
  <si>
    <t>IRN10</t>
  </si>
  <si>
    <t>Saleh Hardani</t>
  </si>
  <si>
    <t>IRN11</t>
  </si>
  <si>
    <t>Saeed Ezatolahi</t>
  </si>
  <si>
    <t>IRN12</t>
  </si>
  <si>
    <t>Saman Ghoddos</t>
  </si>
  <si>
    <t>IRN13</t>
  </si>
  <si>
    <t>IRN14</t>
  </si>
  <si>
    <t>Omid Noorafkan</t>
  </si>
  <si>
    <t>IRN15</t>
  </si>
  <si>
    <t>Roozbeh Cheshmi</t>
  </si>
  <si>
    <t>IRN16</t>
  </si>
  <si>
    <t>Mohammad Mohebi</t>
  </si>
  <si>
    <t>IRN17</t>
  </si>
  <si>
    <t>Sardar Azmoun</t>
  </si>
  <si>
    <t>IRN18</t>
  </si>
  <si>
    <t>Mehdi Taremi</t>
  </si>
  <si>
    <t>IRN19</t>
  </si>
  <si>
    <t>Alireza Jahanbakhsh</t>
  </si>
  <si>
    <t>IRN20</t>
  </si>
  <si>
    <t>Ali Gholizadeh</t>
  </si>
  <si>
    <t>NZL1</t>
  </si>
  <si>
    <t>NZL2</t>
  </si>
  <si>
    <t>Max Crocombe</t>
  </si>
  <si>
    <t>NZL3</t>
  </si>
  <si>
    <t>Alex Paulsen</t>
  </si>
  <si>
    <t>NZL4</t>
  </si>
  <si>
    <t>Michael Boxall</t>
  </si>
  <si>
    <t>NZL5</t>
  </si>
  <si>
    <t>Liberato Cacace</t>
  </si>
  <si>
    <t>NZL6</t>
  </si>
  <si>
    <t>Tim Payne</t>
  </si>
  <si>
    <t>NZL7</t>
  </si>
  <si>
    <t>Tyler Bindon</t>
  </si>
  <si>
    <t>NZL8</t>
  </si>
  <si>
    <t>Francis de Vries</t>
  </si>
  <si>
    <t>NZL9</t>
  </si>
  <si>
    <t>Finn Surman</t>
  </si>
  <si>
    <t>NZL10</t>
  </si>
  <si>
    <t>Joe Bell</t>
  </si>
  <si>
    <t>NZL11</t>
  </si>
  <si>
    <t>Sarpreet Singh</t>
  </si>
  <si>
    <t>NZL12</t>
  </si>
  <si>
    <t>Ryan Thomas</t>
  </si>
  <si>
    <t>NZL13</t>
  </si>
  <si>
    <t>NZL14</t>
  </si>
  <si>
    <t>Matthew Garbett</t>
  </si>
  <si>
    <t>NZL15</t>
  </si>
  <si>
    <t>Marko Stamenić</t>
  </si>
  <si>
    <t>NZL16</t>
  </si>
  <si>
    <t>Ben Old</t>
  </si>
  <si>
    <t>NZL17</t>
  </si>
  <si>
    <t>Chris Wood</t>
  </si>
  <si>
    <t>NZL18</t>
  </si>
  <si>
    <t>Elijah Just</t>
  </si>
  <si>
    <t>NZL19</t>
  </si>
  <si>
    <t>Callum McCowatt</t>
  </si>
  <si>
    <t>NZL20</t>
  </si>
  <si>
    <t>Kosta Barbarouses</t>
  </si>
  <si>
    <t>ESP1</t>
  </si>
  <si>
    <t>ESP2</t>
  </si>
  <si>
    <t>Unai Simón</t>
  </si>
  <si>
    <t>ESP3</t>
  </si>
  <si>
    <t>Robin Le Normand</t>
  </si>
  <si>
    <t>ESP4</t>
  </si>
  <si>
    <t>Aymeric Laporte</t>
  </si>
  <si>
    <t>ESP5</t>
  </si>
  <si>
    <t>Dean Huijsen</t>
  </si>
  <si>
    <t>ESP6</t>
  </si>
  <si>
    <t>Pedro Porro</t>
  </si>
  <si>
    <t>ESP7</t>
  </si>
  <si>
    <t>Dani Carvajal</t>
  </si>
  <si>
    <t>ESP8</t>
  </si>
  <si>
    <t>Marc Cucurella</t>
  </si>
  <si>
    <t>ESP9</t>
  </si>
  <si>
    <t>Martín Zubimendi</t>
  </si>
  <si>
    <t>ESP10</t>
  </si>
  <si>
    <t>Rodri</t>
  </si>
  <si>
    <t>ESP11</t>
  </si>
  <si>
    <t>Pedri</t>
  </si>
  <si>
    <t>ESP12</t>
  </si>
  <si>
    <t>Fabián Ruiz</t>
  </si>
  <si>
    <t>ESP13</t>
  </si>
  <si>
    <t>ESP14</t>
  </si>
  <si>
    <t>Mikel Merino</t>
  </si>
  <si>
    <t>ESP15</t>
  </si>
  <si>
    <t>Lamine Yamal</t>
  </si>
  <si>
    <t>ESP16</t>
  </si>
  <si>
    <t>Dani Olmo</t>
  </si>
  <si>
    <t>ESP17</t>
  </si>
  <si>
    <t>Nico Williams</t>
  </si>
  <si>
    <t>ESP18</t>
  </si>
  <si>
    <t>Ferran Torres</t>
  </si>
  <si>
    <t>ESP19</t>
  </si>
  <si>
    <t>Álvaro Morata</t>
  </si>
  <si>
    <t>ESP20</t>
  </si>
  <si>
    <t>Mikel Oyarzabal</t>
  </si>
  <si>
    <t>CPV1</t>
  </si>
  <si>
    <t>CPV2</t>
  </si>
  <si>
    <t>Vozinha</t>
  </si>
  <si>
    <t>CPV3</t>
  </si>
  <si>
    <t>Logan Costa</t>
  </si>
  <si>
    <t>CPV4</t>
  </si>
  <si>
    <t>Pico</t>
  </si>
  <si>
    <t>CPV5</t>
  </si>
  <si>
    <t>Diney</t>
  </si>
  <si>
    <t>CPV6</t>
  </si>
  <si>
    <t>Steven Moreira</t>
  </si>
  <si>
    <t>CPV7</t>
  </si>
  <si>
    <t>Wagner Pina</t>
  </si>
  <si>
    <t>CPV8</t>
  </si>
  <si>
    <t>João Paulo</t>
  </si>
  <si>
    <t>CPV9</t>
  </si>
  <si>
    <t>Yannick Semedo</t>
  </si>
  <si>
    <t>CPV10</t>
  </si>
  <si>
    <t>Kevin Pina</t>
  </si>
  <si>
    <t>CPV11</t>
  </si>
  <si>
    <t>Patrick Andrade</t>
  </si>
  <si>
    <t>CPV12</t>
  </si>
  <si>
    <t>Jamiro Monteiro</t>
  </si>
  <si>
    <t>CPV13</t>
  </si>
  <si>
    <t>CPV14</t>
  </si>
  <si>
    <t>Deroy Duarte</t>
  </si>
  <si>
    <t>CPV15</t>
  </si>
  <si>
    <t>Garry Rodrigues</t>
  </si>
  <si>
    <t>CPV16</t>
  </si>
  <si>
    <t>Jovane Cabral</t>
  </si>
  <si>
    <t>CPV17</t>
  </si>
  <si>
    <t>Ryan Mendes</t>
  </si>
  <si>
    <t>CPV18</t>
  </si>
  <si>
    <t>Dailon Livramento</t>
  </si>
  <si>
    <t>CPV19</t>
  </si>
  <si>
    <t>Willy Semedo</t>
  </si>
  <si>
    <t>CPV20</t>
  </si>
  <si>
    <t>Bebé</t>
  </si>
  <si>
    <t>KSA1</t>
  </si>
  <si>
    <t>KSA2</t>
  </si>
  <si>
    <t>Nawaf Alaqidi</t>
  </si>
  <si>
    <t>KSA3</t>
  </si>
  <si>
    <t>Abdulrahman Alsanbi</t>
  </si>
  <si>
    <t>KSA4</t>
  </si>
  <si>
    <t>Saud Abdulhamid</t>
  </si>
  <si>
    <t>KSA5</t>
  </si>
  <si>
    <t>Nawaf Bouwashl</t>
  </si>
  <si>
    <t>KSA6</t>
  </si>
  <si>
    <t>Jehad Thikri</t>
  </si>
  <si>
    <t>KSA7</t>
  </si>
  <si>
    <t>Moteb Al-Harbi</t>
  </si>
  <si>
    <t>KSA8</t>
  </si>
  <si>
    <t>Hassan Altambakti</t>
  </si>
  <si>
    <t>KSA9</t>
  </si>
  <si>
    <t>Musab Aljuwayr</t>
  </si>
  <si>
    <t>KSA10</t>
  </si>
  <si>
    <t>Ziyad Aljohani</t>
  </si>
  <si>
    <t>KSA11</t>
  </si>
  <si>
    <t>Abdullah Alkhaibari</t>
  </si>
  <si>
    <t>KSA12</t>
  </si>
  <si>
    <t>Nasser Aldawsari</t>
  </si>
  <si>
    <t>KSA13</t>
  </si>
  <si>
    <t>KSA14</t>
  </si>
  <si>
    <t>Saleh Abu Alshamat</t>
  </si>
  <si>
    <t>KSA15</t>
  </si>
  <si>
    <t>Marwan Alsahafi</t>
  </si>
  <si>
    <t>KSA16</t>
  </si>
  <si>
    <t>Salem Aldawsari</t>
  </si>
  <si>
    <t>KSA17</t>
  </si>
  <si>
    <t>Abdulrahman Alobud</t>
  </si>
  <si>
    <t>KSA18</t>
  </si>
  <si>
    <t>Feras Albrikan</t>
  </si>
  <si>
    <t>KSA19</t>
  </si>
  <si>
    <t>Saleh Alshehri</t>
  </si>
  <si>
    <t>KSA20</t>
  </si>
  <si>
    <t>Abdullah Alhamdan</t>
  </si>
  <si>
    <t>URU1</t>
  </si>
  <si>
    <t>URU2</t>
  </si>
  <si>
    <t>Sergio Rochet</t>
  </si>
  <si>
    <t>URU3</t>
  </si>
  <si>
    <t>Santiago Mele</t>
  </si>
  <si>
    <t>URU4</t>
  </si>
  <si>
    <t>Ronald Araújo</t>
  </si>
  <si>
    <t>URU5</t>
  </si>
  <si>
    <t>José María Giménez</t>
  </si>
  <si>
    <t>URU6</t>
  </si>
  <si>
    <t>Sebastián Cáceres</t>
  </si>
  <si>
    <t>URU7</t>
  </si>
  <si>
    <t>Mathias Olivera</t>
  </si>
  <si>
    <t>URU8</t>
  </si>
  <si>
    <t>Guillermo Varela</t>
  </si>
  <si>
    <t>URU9</t>
  </si>
  <si>
    <t>Nahitan Nández</t>
  </si>
  <si>
    <t>URU10</t>
  </si>
  <si>
    <t>Federico Valverde</t>
  </si>
  <si>
    <t>URU11</t>
  </si>
  <si>
    <t>Giorgian de Arrascaeta</t>
  </si>
  <si>
    <t>URU12</t>
  </si>
  <si>
    <t>Rodrigo Bentancur</t>
  </si>
  <si>
    <t>URU13</t>
  </si>
  <si>
    <t>URU14</t>
  </si>
  <si>
    <t>Manuel Ugarte</t>
  </si>
  <si>
    <t>URU15</t>
  </si>
  <si>
    <t>Nicolás de la Cruz</t>
  </si>
  <si>
    <t>URU16</t>
  </si>
  <si>
    <t>Maxi Araújo</t>
  </si>
  <si>
    <t>URU17</t>
  </si>
  <si>
    <t>Darwin Núñez</t>
  </si>
  <si>
    <t>URU18</t>
  </si>
  <si>
    <t>Federico Viñas</t>
  </si>
  <si>
    <t>URU19</t>
  </si>
  <si>
    <t>Rodrigo Aguirre</t>
  </si>
  <si>
    <t>URU20</t>
  </si>
  <si>
    <t>Facundo Pellistri</t>
  </si>
  <si>
    <t>FRA1</t>
  </si>
  <si>
    <t>FRA2</t>
  </si>
  <si>
    <t>Mike Maignan</t>
  </si>
  <si>
    <t>FRA3</t>
  </si>
  <si>
    <t>Theo Hernández</t>
  </si>
  <si>
    <t>FRA4</t>
  </si>
  <si>
    <t>William Saliba</t>
  </si>
  <si>
    <t>FRA5</t>
  </si>
  <si>
    <t>Jules Koundé</t>
  </si>
  <si>
    <t>FRA6</t>
  </si>
  <si>
    <t>Ibrahima Konaté</t>
  </si>
  <si>
    <t>FRA7</t>
  </si>
  <si>
    <t>Dayot Upamecano</t>
  </si>
  <si>
    <t>FRA8</t>
  </si>
  <si>
    <t>Lucas Digne</t>
  </si>
  <si>
    <t>FRA9</t>
  </si>
  <si>
    <t>Aurélien Tchouaméni</t>
  </si>
  <si>
    <t>FRA10</t>
  </si>
  <si>
    <t>Eduardo Camavinga</t>
  </si>
  <si>
    <t>FRA11</t>
  </si>
  <si>
    <t>Manu Koné</t>
  </si>
  <si>
    <t>FRA12</t>
  </si>
  <si>
    <t>Adrien Rabiot</t>
  </si>
  <si>
    <t>FRA13</t>
  </si>
  <si>
    <t>FRA14</t>
  </si>
  <si>
    <t>Michael Olise</t>
  </si>
  <si>
    <t>FRA15</t>
  </si>
  <si>
    <t>Ousmane Dembélé</t>
  </si>
  <si>
    <t>FRA16</t>
  </si>
  <si>
    <t>Bradley Barcola</t>
  </si>
  <si>
    <t>FRA17</t>
  </si>
  <si>
    <t>Désiré Doué</t>
  </si>
  <si>
    <t>FRA18</t>
  </si>
  <si>
    <t>Kingsley Coman</t>
  </si>
  <si>
    <t>FRA19</t>
  </si>
  <si>
    <t>Hugo Ekitiké</t>
  </si>
  <si>
    <t>FRA20</t>
  </si>
  <si>
    <t>Kylian Mbappé</t>
  </si>
  <si>
    <t>SEN1</t>
  </si>
  <si>
    <t>SEN2</t>
  </si>
  <si>
    <t>Edouard Mendy</t>
  </si>
  <si>
    <t>SEN3</t>
  </si>
  <si>
    <t>Yehvann Diouf</t>
  </si>
  <si>
    <t>SEN4</t>
  </si>
  <si>
    <t>Moussa Niakhaté</t>
  </si>
  <si>
    <t>SEN5</t>
  </si>
  <si>
    <t>Abdoulaye Seck</t>
  </si>
  <si>
    <t>SEN6</t>
  </si>
  <si>
    <t>Ismail Jakobs</t>
  </si>
  <si>
    <t>SEN7</t>
  </si>
  <si>
    <t>El Hadji Malick Diouf</t>
  </si>
  <si>
    <t>SEN8</t>
  </si>
  <si>
    <t>Kalidou Koulibaly</t>
  </si>
  <si>
    <t>SEN9</t>
  </si>
  <si>
    <t>Idrissa Gana Gueye</t>
  </si>
  <si>
    <t>SEN10</t>
  </si>
  <si>
    <t>Pape Matar Sarr</t>
  </si>
  <si>
    <t>SEN11</t>
  </si>
  <si>
    <t>Pape Gueye</t>
  </si>
  <si>
    <t>SEN12</t>
  </si>
  <si>
    <t>Habib Diarra</t>
  </si>
  <si>
    <t>SEN13</t>
  </si>
  <si>
    <t>SEN14</t>
  </si>
  <si>
    <t>Lamine Camara</t>
  </si>
  <si>
    <t>SEN15</t>
  </si>
  <si>
    <t>Sadio Mané</t>
  </si>
  <si>
    <t>SEN16</t>
  </si>
  <si>
    <t>Ismaïla Sarr</t>
  </si>
  <si>
    <t>SEN17</t>
  </si>
  <si>
    <t>Boulaye Dia</t>
  </si>
  <si>
    <t>SEN18</t>
  </si>
  <si>
    <t>Iliman Ndiaye</t>
  </si>
  <si>
    <t>SEN19</t>
  </si>
  <si>
    <t>Nicolas Jackson</t>
  </si>
  <si>
    <t>SEN20</t>
  </si>
  <si>
    <t>Krépin Diatta</t>
  </si>
  <si>
    <t>IRQ1</t>
  </si>
  <si>
    <t>IRQ2</t>
  </si>
  <si>
    <t>Jalal Hassan</t>
  </si>
  <si>
    <t>IRQ3</t>
  </si>
  <si>
    <t>Rebin Sulaka</t>
  </si>
  <si>
    <t>IRQ4</t>
  </si>
  <si>
    <t>Hussein Ali</t>
  </si>
  <si>
    <t>IRQ5</t>
  </si>
  <si>
    <t>Akam Hashem</t>
  </si>
  <si>
    <t>IRQ6</t>
  </si>
  <si>
    <t>Merchas Doski</t>
  </si>
  <si>
    <t>IRQ7</t>
  </si>
  <si>
    <t>Zaid Tahseen</t>
  </si>
  <si>
    <t>IRQ8</t>
  </si>
  <si>
    <t>Manaf Younis</t>
  </si>
  <si>
    <t>IRQ9</t>
  </si>
  <si>
    <t>Zidane Iqbal</t>
  </si>
  <si>
    <t>IRQ10</t>
  </si>
  <si>
    <t>Amir Al-Ammari</t>
  </si>
  <si>
    <t>IRQ11</t>
  </si>
  <si>
    <t>Ibrahim Bavesh</t>
  </si>
  <si>
    <t>IRQ12</t>
  </si>
  <si>
    <t>Ali Jasim</t>
  </si>
  <si>
    <t>IRQ13</t>
  </si>
  <si>
    <t>IRQ14</t>
  </si>
  <si>
    <t>Youssef Amyn</t>
  </si>
  <si>
    <t>IRQ15</t>
  </si>
  <si>
    <t>Aimar Sher</t>
  </si>
  <si>
    <t>IRQ16</t>
  </si>
  <si>
    <t>Marko Farji</t>
  </si>
  <si>
    <t>IRQ17</t>
  </si>
  <si>
    <t>Osama Rashid</t>
  </si>
  <si>
    <t>IRQ18</t>
  </si>
  <si>
    <t>Ali Al-Hamadi</t>
  </si>
  <si>
    <t>IRQ19</t>
  </si>
  <si>
    <t>Aymen Hussein</t>
  </si>
  <si>
    <t>IRQ20</t>
  </si>
  <si>
    <t>Mohanad Ali</t>
  </si>
  <si>
    <t>NOR1</t>
  </si>
  <si>
    <t>NOR2</t>
  </si>
  <si>
    <t>Ørjan Nyland</t>
  </si>
  <si>
    <t>NOR3</t>
  </si>
  <si>
    <t>Julian Ryerson</t>
  </si>
  <si>
    <t>NOR4</t>
  </si>
  <si>
    <t>Leo Østigård</t>
  </si>
  <si>
    <t>NOR5</t>
  </si>
  <si>
    <t>Kristoffer Vassbakk Ajer</t>
  </si>
  <si>
    <t>NOR6</t>
  </si>
  <si>
    <t>Marcus Holmgren Pedersen</t>
  </si>
  <si>
    <t>NOR7</t>
  </si>
  <si>
    <t>David Møller Wolfe</t>
  </si>
  <si>
    <t>NOR8</t>
  </si>
  <si>
    <t>Torbjørn Heggem</t>
  </si>
  <si>
    <t>NOR9</t>
  </si>
  <si>
    <t>Morten Thorsby</t>
  </si>
  <si>
    <t>NOR10</t>
  </si>
  <si>
    <t>Martin Ødegaard</t>
  </si>
  <si>
    <t>NOR11</t>
  </si>
  <si>
    <t>Sander Berge</t>
  </si>
  <si>
    <t>NOR12</t>
  </si>
  <si>
    <t>Andreas Schjelderup</t>
  </si>
  <si>
    <t>NOR13</t>
  </si>
  <si>
    <t>NOR14</t>
  </si>
  <si>
    <t>Patrick Berg</t>
  </si>
  <si>
    <t>NOR15</t>
  </si>
  <si>
    <t>Erling Haaland</t>
  </si>
  <si>
    <t>NOR16</t>
  </si>
  <si>
    <t>Alexander Sørloth</t>
  </si>
  <si>
    <t>NOR17</t>
  </si>
  <si>
    <t>Aron Dønnum</t>
  </si>
  <si>
    <t>NOR18</t>
  </si>
  <si>
    <t>Jørgen Strand Larsen</t>
  </si>
  <si>
    <t>NOR19</t>
  </si>
  <si>
    <t>Antonio Nusa</t>
  </si>
  <si>
    <t>NOR20</t>
  </si>
  <si>
    <t>Oscar Bobb</t>
  </si>
  <si>
    <t>ARG1</t>
  </si>
  <si>
    <t>ARG2</t>
  </si>
  <si>
    <t>Emiliano Martínez</t>
  </si>
  <si>
    <t>ARG3</t>
  </si>
  <si>
    <t>Nahuel Molina</t>
  </si>
  <si>
    <t>ARG4</t>
  </si>
  <si>
    <t>Cristian Romero</t>
  </si>
  <si>
    <t>ARG5</t>
  </si>
  <si>
    <t>Nicolás Otamendi</t>
  </si>
  <si>
    <t>ARG6</t>
  </si>
  <si>
    <t>Nicolás Tagliafico</t>
  </si>
  <si>
    <t>ARG7</t>
  </si>
  <si>
    <t>Leonardo Balerdi</t>
  </si>
  <si>
    <t>ARG8</t>
  </si>
  <si>
    <t>Enzo Fernández</t>
  </si>
  <si>
    <t>ARG9</t>
  </si>
  <si>
    <t>Alexis Mac Allister</t>
  </si>
  <si>
    <t>ARG10</t>
  </si>
  <si>
    <t>Rodrigo de Paul</t>
  </si>
  <si>
    <t>ARG11</t>
  </si>
  <si>
    <t>Exequiel Palacios</t>
  </si>
  <si>
    <t>ARG12</t>
  </si>
  <si>
    <t>Leandro Paredes</t>
  </si>
  <si>
    <t>ARG13</t>
  </si>
  <si>
    <t>ARG14</t>
  </si>
  <si>
    <t>Nico Paz</t>
  </si>
  <si>
    <t>ARG15</t>
  </si>
  <si>
    <t>Franco Mastantuono</t>
  </si>
  <si>
    <t>ARG16</t>
  </si>
  <si>
    <t>Nico González</t>
  </si>
  <si>
    <t>ARG17</t>
  </si>
  <si>
    <t>Lionel Messi</t>
  </si>
  <si>
    <t>ARG18</t>
  </si>
  <si>
    <t>Lautaro Martínez</t>
  </si>
  <si>
    <t>ARG19</t>
  </si>
  <si>
    <t>Julián Álvarez</t>
  </si>
  <si>
    <t>ARG20</t>
  </si>
  <si>
    <t>Giuliano Simeone</t>
  </si>
  <si>
    <t>ALG1</t>
  </si>
  <si>
    <t>ALG2</t>
  </si>
  <si>
    <t>Alexis Guendouz</t>
  </si>
  <si>
    <t>ALG3</t>
  </si>
  <si>
    <t>Ramy Bensebaini</t>
  </si>
  <si>
    <t>ALG4</t>
  </si>
  <si>
    <t>Youcef Atal</t>
  </si>
  <si>
    <t>ALG5</t>
  </si>
  <si>
    <t>Rayan Aït-Nouri</t>
  </si>
  <si>
    <t>ALG6</t>
  </si>
  <si>
    <t>Mohamed Amine Tougai</t>
  </si>
  <si>
    <t>ALG7</t>
  </si>
  <si>
    <t>Aïssa Mandi</t>
  </si>
  <si>
    <t>ALG8</t>
  </si>
  <si>
    <t>Ismaël Bennacer</t>
  </si>
  <si>
    <t>ALG9</t>
  </si>
  <si>
    <t>Houssem Aouar</t>
  </si>
  <si>
    <t>ALG10</t>
  </si>
  <si>
    <t>Hicham Boudaoui</t>
  </si>
  <si>
    <t>ALG11</t>
  </si>
  <si>
    <t>Ramiz Zerrouki</t>
  </si>
  <si>
    <t>ALG12</t>
  </si>
  <si>
    <t>Nabil Bentaleb</t>
  </si>
  <si>
    <t>ALG13</t>
  </si>
  <si>
    <t>ALG14</t>
  </si>
  <si>
    <t>Farès Chaïbi</t>
  </si>
  <si>
    <t>ALG15</t>
  </si>
  <si>
    <t>Riyad Mahrez</t>
  </si>
  <si>
    <t>ALG16</t>
  </si>
  <si>
    <t>Saïd Benrahma</t>
  </si>
  <si>
    <t>ALG17</t>
  </si>
  <si>
    <t>Anis Hadj Moussa</t>
  </si>
  <si>
    <t>ALG18</t>
  </si>
  <si>
    <t>Amine Gouiri</t>
  </si>
  <si>
    <t>ALG19</t>
  </si>
  <si>
    <t>Baghdad Bounedjah</t>
  </si>
  <si>
    <t>ALG20</t>
  </si>
  <si>
    <t>Mohammed Amoura</t>
  </si>
  <si>
    <t>AUT1</t>
  </si>
  <si>
    <t>AUT2</t>
  </si>
  <si>
    <t>Alexander Schlager</t>
  </si>
  <si>
    <t>AUT3</t>
  </si>
  <si>
    <t>Patrick Pentz</t>
  </si>
  <si>
    <t>AUT4</t>
  </si>
  <si>
    <t>David Alaba</t>
  </si>
  <si>
    <t>AUT5</t>
  </si>
  <si>
    <t>Kevin Danso</t>
  </si>
  <si>
    <t>AUT6</t>
  </si>
  <si>
    <t>Philipp Lienhart</t>
  </si>
  <si>
    <t>AUT7</t>
  </si>
  <si>
    <t>Stefan Posch</t>
  </si>
  <si>
    <t>AUT8</t>
  </si>
  <si>
    <t>Phillipp Mwene</t>
  </si>
  <si>
    <t>AUT9</t>
  </si>
  <si>
    <t>Alexander Prass</t>
  </si>
  <si>
    <t>AUT10</t>
  </si>
  <si>
    <t>Xaver Schlager</t>
  </si>
  <si>
    <t>AUT11</t>
  </si>
  <si>
    <t>Marcel Sabitzer</t>
  </si>
  <si>
    <t>AUT12</t>
  </si>
  <si>
    <t>Konrad Laimer</t>
  </si>
  <si>
    <t>AUT13</t>
  </si>
  <si>
    <t>AUT14</t>
  </si>
  <si>
    <t>Florian Grillitsch</t>
  </si>
  <si>
    <t>AUT15</t>
  </si>
  <si>
    <t>Nicolas Seiwald</t>
  </si>
  <si>
    <t>AUT16</t>
  </si>
  <si>
    <t>Romano Schmid</t>
  </si>
  <si>
    <t>AUT17</t>
  </si>
  <si>
    <t>Patrick Wimmer</t>
  </si>
  <si>
    <t>AUT18</t>
  </si>
  <si>
    <t>Christoph Baumgartner</t>
  </si>
  <si>
    <t>AUT19</t>
  </si>
  <si>
    <t>Michael Gregoritsch</t>
  </si>
  <si>
    <t>AUT20</t>
  </si>
  <si>
    <t>Marko Arnautović</t>
  </si>
  <si>
    <t>JOR1</t>
  </si>
  <si>
    <t>JOR2</t>
  </si>
  <si>
    <t>Yazeed Abulaila</t>
  </si>
  <si>
    <t>JOR3</t>
  </si>
  <si>
    <t>Ihsan Haddad</t>
  </si>
  <si>
    <t>JOR4</t>
  </si>
  <si>
    <t>Mohammad Abu Hashish</t>
  </si>
  <si>
    <t>JOR5</t>
  </si>
  <si>
    <t>Yazan Al-Arab</t>
  </si>
  <si>
    <t>JOR6</t>
  </si>
  <si>
    <t>Abdullah Nasib</t>
  </si>
  <si>
    <t>JOR7</t>
  </si>
  <si>
    <t>Saleem Obaid</t>
  </si>
  <si>
    <t>JOR8</t>
  </si>
  <si>
    <t>Mohammad Abualnadi</t>
  </si>
  <si>
    <t>JOR9</t>
  </si>
  <si>
    <t>Ibrahim Saadeh</t>
  </si>
  <si>
    <t>JOR10</t>
  </si>
  <si>
    <t>Nizar Al-Rashdan</t>
  </si>
  <si>
    <t>JOR11</t>
  </si>
  <si>
    <t>Noor Al-Rawabdeh</t>
  </si>
  <si>
    <t>JOR12</t>
  </si>
  <si>
    <t>Mohannad Abu Taha</t>
  </si>
  <si>
    <t>JOR13</t>
  </si>
  <si>
    <t>JOR14</t>
  </si>
  <si>
    <t>Amer Jamous</t>
  </si>
  <si>
    <t>JOR15</t>
  </si>
  <si>
    <t>Mousa Al-Taamari</t>
  </si>
  <si>
    <t>JOR16</t>
  </si>
  <si>
    <t>Yazan Al-Naimat</t>
  </si>
  <si>
    <t>JOR17</t>
  </si>
  <si>
    <t>Mahmoud Al-Mardi</t>
  </si>
  <si>
    <t>JOR18</t>
  </si>
  <si>
    <t>Ali Olwan</t>
  </si>
  <si>
    <t>JOR19</t>
  </si>
  <si>
    <t>Mohammad Abu Zrayq</t>
  </si>
  <si>
    <t>JOR20</t>
  </si>
  <si>
    <t>Ibrahim Sabra</t>
  </si>
  <si>
    <t>POR1</t>
  </si>
  <si>
    <t>POR2</t>
  </si>
  <si>
    <t>Diogo Costa</t>
  </si>
  <si>
    <t>POR3</t>
  </si>
  <si>
    <t>José Sá</t>
  </si>
  <si>
    <t>POR4</t>
  </si>
  <si>
    <t>Rubén Dias</t>
  </si>
  <si>
    <t>POR5</t>
  </si>
  <si>
    <t>João Cancelo</t>
  </si>
  <si>
    <t>POR6</t>
  </si>
  <si>
    <t>Diogo Dalot</t>
  </si>
  <si>
    <t>POR7</t>
  </si>
  <si>
    <t>Nuno Mendes</t>
  </si>
  <si>
    <t>POR8</t>
  </si>
  <si>
    <t>Gonçalo Inácio</t>
  </si>
  <si>
    <t>POR9</t>
  </si>
  <si>
    <t>Bernardo Silva</t>
  </si>
  <si>
    <t>POR10</t>
  </si>
  <si>
    <t>Bruno Fernandes</t>
  </si>
  <si>
    <t>POR11</t>
  </si>
  <si>
    <t>Rubén Neves</t>
  </si>
  <si>
    <t>POR12</t>
  </si>
  <si>
    <t>Vitinha</t>
  </si>
  <si>
    <t>POR13</t>
  </si>
  <si>
    <t>POR14</t>
  </si>
  <si>
    <t>João Neves</t>
  </si>
  <si>
    <t>POR15</t>
  </si>
  <si>
    <t>Cristiano Ronaldo</t>
  </si>
  <si>
    <t>POR16</t>
  </si>
  <si>
    <t>Francisco Trincão</t>
  </si>
  <si>
    <t>POR17</t>
  </si>
  <si>
    <t>João Félix</t>
  </si>
  <si>
    <t>POR18</t>
  </si>
  <si>
    <t>Gonçalo Ramos</t>
  </si>
  <si>
    <t>POR19</t>
  </si>
  <si>
    <t>Pedro Neto</t>
  </si>
  <si>
    <t>POR20</t>
  </si>
  <si>
    <t>Rafael Leão</t>
  </si>
  <si>
    <t>COD1</t>
  </si>
  <si>
    <t>COD2</t>
  </si>
  <si>
    <t>Lionel Mpasi</t>
  </si>
  <si>
    <t>COD3</t>
  </si>
  <si>
    <t>Aaron Wan-Bissaka</t>
  </si>
  <si>
    <t>COD4</t>
  </si>
  <si>
    <t>Axel Tuanzebe</t>
  </si>
  <si>
    <t>COD5</t>
  </si>
  <si>
    <t>Arthur Masuaku</t>
  </si>
  <si>
    <t>COD6</t>
  </si>
  <si>
    <t>Chancel Mbemba</t>
  </si>
  <si>
    <t>COD7</t>
  </si>
  <si>
    <t>Joris Kavembe</t>
  </si>
  <si>
    <t>COD8</t>
  </si>
  <si>
    <t>Charles Pickel</t>
  </si>
  <si>
    <t>COD9</t>
  </si>
  <si>
    <t>Ngal'ayel Mukau</t>
  </si>
  <si>
    <t>COD10</t>
  </si>
  <si>
    <t>Edo Kavembe</t>
  </si>
  <si>
    <t>COD11</t>
  </si>
  <si>
    <t>Samuel Moutoussamy</t>
  </si>
  <si>
    <t>COD12</t>
  </si>
  <si>
    <t>Noah Sadiki</t>
  </si>
  <si>
    <t>COD13</t>
  </si>
  <si>
    <t>COD14</t>
  </si>
  <si>
    <t>Théo Bongonda</t>
  </si>
  <si>
    <t>COD15</t>
  </si>
  <si>
    <t>Meschack Elia</t>
  </si>
  <si>
    <t>COD16</t>
  </si>
  <si>
    <t>Yoane Wissa</t>
  </si>
  <si>
    <t>COD17</t>
  </si>
  <si>
    <t>Brian Cipenga</t>
  </si>
  <si>
    <t>COD18</t>
  </si>
  <si>
    <t>Fiston Mavele</t>
  </si>
  <si>
    <t>COD19</t>
  </si>
  <si>
    <t>Cédric Bakambu</t>
  </si>
  <si>
    <t>COD20</t>
  </si>
  <si>
    <t>Nathanaël Mbuku</t>
  </si>
  <si>
    <t>UZB1</t>
  </si>
  <si>
    <t>UZB2</t>
  </si>
  <si>
    <t>Utkir Yusupov</t>
  </si>
  <si>
    <t>UZB3</t>
  </si>
  <si>
    <t>Farrukh Sayfiev</t>
  </si>
  <si>
    <t>UZB4</t>
  </si>
  <si>
    <t>Sherzod Nasrullaev</t>
  </si>
  <si>
    <t>UZB5</t>
  </si>
  <si>
    <t>Umar Eshmurodov</t>
  </si>
  <si>
    <t>UZB6</t>
  </si>
  <si>
    <t>Husniddin Aliqulov</t>
  </si>
  <si>
    <t>UZB7</t>
  </si>
  <si>
    <t>Rustam Ashurmatov</t>
  </si>
  <si>
    <t>UZB8</t>
  </si>
  <si>
    <t>Khojiakbar Alijonov</t>
  </si>
  <si>
    <t>UZB9</t>
  </si>
  <si>
    <t>Abdukodir Khusanov</t>
  </si>
  <si>
    <t>UZB10</t>
  </si>
  <si>
    <t>Odiljon Hamrobekov</t>
  </si>
  <si>
    <t>UZB11</t>
  </si>
  <si>
    <t>Otabek Shukurov</t>
  </si>
  <si>
    <t>UZB12</t>
  </si>
  <si>
    <t>Jamshid Iskanderov</t>
  </si>
  <si>
    <t>UZB13</t>
  </si>
  <si>
    <t>UZB14</t>
  </si>
  <si>
    <t>Azizbek Turgunboev</t>
  </si>
  <si>
    <t>UZB15</t>
  </si>
  <si>
    <t>Khojimat Erkinov</t>
  </si>
  <si>
    <t>UZB16</t>
  </si>
  <si>
    <t>Eldor Shomurodov</t>
  </si>
  <si>
    <t>UZB17</t>
  </si>
  <si>
    <t>Oston Urunov</t>
  </si>
  <si>
    <t>UZB18</t>
  </si>
  <si>
    <t>Jaloliddin Masharipov</t>
  </si>
  <si>
    <t>UZB19</t>
  </si>
  <si>
    <t>UZB20</t>
  </si>
  <si>
    <t>Igor Sergeev</t>
  </si>
  <si>
    <t>COL1</t>
  </si>
  <si>
    <t>COL2</t>
  </si>
  <si>
    <t>Camilo Vargas</t>
  </si>
  <si>
    <t>COL3</t>
  </si>
  <si>
    <t>David Ospina</t>
  </si>
  <si>
    <t>COL4</t>
  </si>
  <si>
    <t>Dávinson Sánchez</t>
  </si>
  <si>
    <t>COL5</t>
  </si>
  <si>
    <t>Yerry Mina</t>
  </si>
  <si>
    <t>COL6</t>
  </si>
  <si>
    <t>Daniel Muñoz</t>
  </si>
  <si>
    <t>COL7</t>
  </si>
  <si>
    <t>Johan Mojica</t>
  </si>
  <si>
    <t>COL8</t>
  </si>
  <si>
    <t>Jhon Lucumí</t>
  </si>
  <si>
    <t>COL9</t>
  </si>
  <si>
    <t>Santiago Arias</t>
  </si>
  <si>
    <t>COL10</t>
  </si>
  <si>
    <t>Jefferson Lerma</t>
  </si>
  <si>
    <t>COL11</t>
  </si>
  <si>
    <t>Kevin Castaño</t>
  </si>
  <si>
    <t>COL12</t>
  </si>
  <si>
    <t>Richard Ríos</t>
  </si>
  <si>
    <t>COL13</t>
  </si>
  <si>
    <t>COL14</t>
  </si>
  <si>
    <t>James Rodríguez</t>
  </si>
  <si>
    <t>COL15</t>
  </si>
  <si>
    <t>Juan Fernando Quintero</t>
  </si>
  <si>
    <t>COL16</t>
  </si>
  <si>
    <t>Jorge Carrascal</t>
  </si>
  <si>
    <t>COL17</t>
  </si>
  <si>
    <t>Jhon Arias</t>
  </si>
  <si>
    <t>COL18</t>
  </si>
  <si>
    <t>COL19</t>
  </si>
  <si>
    <t>Luis Suárez</t>
  </si>
  <si>
    <t>COL20</t>
  </si>
  <si>
    <t>Luis Díaz</t>
  </si>
  <si>
    <t>ENG1</t>
  </si>
  <si>
    <t>ENG2</t>
  </si>
  <si>
    <t>Jordan Pickford</t>
  </si>
  <si>
    <t>ENG3</t>
  </si>
  <si>
    <t>John Stones</t>
  </si>
  <si>
    <t>ENG4</t>
  </si>
  <si>
    <t>Marc Guéhi</t>
  </si>
  <si>
    <t>ENG5</t>
  </si>
  <si>
    <t>Ezri Konsa</t>
  </si>
  <si>
    <t>ENG6</t>
  </si>
  <si>
    <t>Trent Alexander-Arnold</t>
  </si>
  <si>
    <t>ENG7</t>
  </si>
  <si>
    <t>Reece James</t>
  </si>
  <si>
    <t>ENG8</t>
  </si>
  <si>
    <t>Dan Burn</t>
  </si>
  <si>
    <t>ENG9</t>
  </si>
  <si>
    <t>Jordan Henderson</t>
  </si>
  <si>
    <t>ENG10</t>
  </si>
  <si>
    <t>Declan Rice</t>
  </si>
  <si>
    <t>ENG11</t>
  </si>
  <si>
    <t>Jude Bellingham</t>
  </si>
  <si>
    <t>ENG12</t>
  </si>
  <si>
    <t>Cole Palmer</t>
  </si>
  <si>
    <t>ENG13</t>
  </si>
  <si>
    <t>ENG14</t>
  </si>
  <si>
    <t>Morgan Rogers</t>
  </si>
  <si>
    <t>ENG15</t>
  </si>
  <si>
    <t>Anthony Gordon</t>
  </si>
  <si>
    <t>ENG16</t>
  </si>
  <si>
    <t>Phil Foden</t>
  </si>
  <si>
    <t>ENG17</t>
  </si>
  <si>
    <t>Bukayo Saka</t>
  </si>
  <si>
    <t>ENG18</t>
  </si>
  <si>
    <t>Harry Kane</t>
  </si>
  <si>
    <t>ENG19</t>
  </si>
  <si>
    <t>Marcus Rashford</t>
  </si>
  <si>
    <t>ENG20</t>
  </si>
  <si>
    <t>Ollie Watkins</t>
  </si>
  <si>
    <t>CRO1</t>
  </si>
  <si>
    <t>CRO2</t>
  </si>
  <si>
    <t>Dominik Livaković</t>
  </si>
  <si>
    <t>CRO3</t>
  </si>
  <si>
    <t>Duje Caleta-Car</t>
  </si>
  <si>
    <t>CRO4</t>
  </si>
  <si>
    <t>Joško Gvardiol</t>
  </si>
  <si>
    <t>CRO5</t>
  </si>
  <si>
    <t>Josip Stanišić</t>
  </si>
  <si>
    <t>CRO6</t>
  </si>
  <si>
    <t>Luka Vušković</t>
  </si>
  <si>
    <t>CRO7</t>
  </si>
  <si>
    <t>Josip Šutalo</t>
  </si>
  <si>
    <t>CRO8</t>
  </si>
  <si>
    <t>Kristijan Jakić</t>
  </si>
  <si>
    <t>CRO9</t>
  </si>
  <si>
    <t>Luka Modrić</t>
  </si>
  <si>
    <t>CRO10</t>
  </si>
  <si>
    <t>Mateo Kovačić</t>
  </si>
  <si>
    <t>CRO11</t>
  </si>
  <si>
    <t>Martin Baturina</t>
  </si>
  <si>
    <t>CRO12</t>
  </si>
  <si>
    <t>Lovro Majer</t>
  </si>
  <si>
    <t>CRO13</t>
  </si>
  <si>
    <t>CRO14</t>
  </si>
  <si>
    <t>Mario Pašalić</t>
  </si>
  <si>
    <t>CRO15</t>
  </si>
  <si>
    <t>Petar Sučić</t>
  </si>
  <si>
    <t>CRO16</t>
  </si>
  <si>
    <t>Ivan Perišić</t>
  </si>
  <si>
    <t>CRO17</t>
  </si>
  <si>
    <t>Marco Pašalić</t>
  </si>
  <si>
    <t>CRO18</t>
  </si>
  <si>
    <t>Ante Budimir</t>
  </si>
  <si>
    <t>CRO19</t>
  </si>
  <si>
    <t>Andrej Kramarić</t>
  </si>
  <si>
    <t>CRO20</t>
  </si>
  <si>
    <t>Franjo Ivanović</t>
  </si>
  <si>
    <t>GHA1</t>
  </si>
  <si>
    <t>GHA2</t>
  </si>
  <si>
    <t>Lawrence Ati Zigi</t>
  </si>
  <si>
    <t>GHA3</t>
  </si>
  <si>
    <t>Tariq Lamptey</t>
  </si>
  <si>
    <t>GHA4</t>
  </si>
  <si>
    <t>Mohammed Salisu</t>
  </si>
  <si>
    <t>GHA5</t>
  </si>
  <si>
    <t>Alidu Seidu</t>
  </si>
  <si>
    <t>GHA6</t>
  </si>
  <si>
    <t>Alexander Djiku</t>
  </si>
  <si>
    <t>GHA7</t>
  </si>
  <si>
    <t>Gideon Mensah</t>
  </si>
  <si>
    <t>GHA8</t>
  </si>
  <si>
    <t>Caleb Yirenkyi</t>
  </si>
  <si>
    <t>GHA9</t>
  </si>
  <si>
    <t>Abdul Issahaku Fatawu</t>
  </si>
  <si>
    <t>GHA10</t>
  </si>
  <si>
    <t>Thomas Partey</t>
  </si>
  <si>
    <t>GHA11</t>
  </si>
  <si>
    <t>Salis Abdul Samed</t>
  </si>
  <si>
    <t>GHA12</t>
  </si>
  <si>
    <t>Kamaldeen Sulemana</t>
  </si>
  <si>
    <t>GHA13</t>
  </si>
  <si>
    <t>GHA14</t>
  </si>
  <si>
    <t>Mohammed Kudus</t>
  </si>
  <si>
    <t>GHA15</t>
  </si>
  <si>
    <t>Iñaki Williams</t>
  </si>
  <si>
    <t>GHA16</t>
  </si>
  <si>
    <t>Jordan Ayew</t>
  </si>
  <si>
    <t>GHA17</t>
  </si>
  <si>
    <t>André Ayew</t>
  </si>
  <si>
    <t>GHA18</t>
  </si>
  <si>
    <t>Joseph Paintsil</t>
  </si>
  <si>
    <t>GHA19</t>
  </si>
  <si>
    <t>Osman Bukari</t>
  </si>
  <si>
    <t>GHA20</t>
  </si>
  <si>
    <t>Antoine Semenyo</t>
  </si>
  <si>
    <t>PAN1</t>
  </si>
  <si>
    <t>PAN2</t>
  </si>
  <si>
    <t>Orlando Mosquera</t>
  </si>
  <si>
    <t>PAN3</t>
  </si>
  <si>
    <t>Luis Mejía</t>
  </si>
  <si>
    <t>PAN4</t>
  </si>
  <si>
    <t>Fidel Escobar</t>
  </si>
  <si>
    <t>PAN5</t>
  </si>
  <si>
    <t>Andrés Andrade</t>
  </si>
  <si>
    <t>PAN6</t>
  </si>
  <si>
    <t>Michael Amir Murillo</t>
  </si>
  <si>
    <t>PAN7</t>
  </si>
  <si>
    <t>Eric Davis</t>
  </si>
  <si>
    <t>PAN8</t>
  </si>
  <si>
    <t>José Córdoba</t>
  </si>
  <si>
    <t>PAN9</t>
  </si>
  <si>
    <t>César Blackman</t>
  </si>
  <si>
    <t>PAN10</t>
  </si>
  <si>
    <t>PAN11</t>
  </si>
  <si>
    <t>Anibal Godoy</t>
  </si>
  <si>
    <t>PAN12</t>
  </si>
  <si>
    <t>Adalberto Carrasquilla</t>
  </si>
  <si>
    <t>PAN13</t>
  </si>
  <si>
    <t>PAN14</t>
  </si>
  <si>
    <t>Édgar Bárcenas</t>
  </si>
  <si>
    <t>PAN15</t>
  </si>
  <si>
    <t>Carlos Harvey</t>
  </si>
  <si>
    <t>PAN16</t>
  </si>
  <si>
    <t>Ismael Díaz</t>
  </si>
  <si>
    <t>PAN17</t>
  </si>
  <si>
    <t>José Fajardo</t>
  </si>
  <si>
    <t>PAN18</t>
  </si>
  <si>
    <t>Cecilio Waterman</t>
  </si>
  <si>
    <t>PAN19</t>
  </si>
  <si>
    <t>José Luis Rodríguez</t>
  </si>
  <si>
    <t>PAN20</t>
  </si>
  <si>
    <t>Alberto Quintero</t>
  </si>
  <si>
    <t>FWC9</t>
  </si>
  <si>
    <t>Italia - Mundial Italia 1934</t>
  </si>
  <si>
    <t>FWC10</t>
  </si>
  <si>
    <t>Uruguay - Mundial Brasil 1950</t>
  </si>
  <si>
    <t>FWC11</t>
  </si>
  <si>
    <t>Alemania - Mundial Suiza 1954</t>
  </si>
  <si>
    <t>FWC12</t>
  </si>
  <si>
    <t>Brasil - Mundial Chile 1962</t>
  </si>
  <si>
    <t>FWC13</t>
  </si>
  <si>
    <t>Alemania - Mundial Alemania 1974</t>
  </si>
  <si>
    <t>FWC14</t>
  </si>
  <si>
    <t>Argentina - Mundial México 1986</t>
  </si>
  <si>
    <t>FWC15</t>
  </si>
  <si>
    <t>Brasil - Mundial USA 1994</t>
  </si>
  <si>
    <t>FWC16</t>
  </si>
  <si>
    <t>Brasil - Mundial Corea-Japón 2002</t>
  </si>
  <si>
    <t>FWC17</t>
  </si>
  <si>
    <t>Italia - Mundial Alemania 2006</t>
  </si>
  <si>
    <t>FWC18</t>
  </si>
  <si>
    <t>Alemania - Mundial Brasil 2014</t>
  </si>
  <si>
    <t>FWC19</t>
  </si>
  <si>
    <t>Argentina - Mundial Catar 2022</t>
  </si>
  <si>
    <t>EXT-ARG</t>
  </si>
  <si>
    <t>Lionel Messi - Argentina (×4 versiones)</t>
  </si>
  <si>
    <t>EXT-BEL</t>
  </si>
  <si>
    <t>Jérémy Doku - Bélgica (×4 versiones)</t>
  </si>
  <si>
    <t>EXT-BRA</t>
  </si>
  <si>
    <t>Vinícius Júnior - Brasil (×4 versiones)</t>
  </si>
  <si>
    <t>EXT-CAN</t>
  </si>
  <si>
    <t>Alphonso Davies - Canadá (×4 versiones)</t>
  </si>
  <si>
    <t>EXT-COL</t>
  </si>
  <si>
    <t>Luis Díaz - Colombia (×4 versiones)</t>
  </si>
  <si>
    <t>EXT-CRO</t>
  </si>
  <si>
    <t>Luka Modrić - Croacia (×4 versiones)</t>
  </si>
  <si>
    <t>EXT-ECU</t>
  </si>
  <si>
    <t>Moisés Caicedo - Ecuador (×4 versiones)</t>
  </si>
  <si>
    <t>EXT-EGY</t>
  </si>
  <si>
    <t>Mohamed Salah - Egipto (×4 versiones)</t>
  </si>
  <si>
    <t>EXT-ENG</t>
  </si>
  <si>
    <t>Jude Bellingham - Inglaterra (×4 versiones)</t>
  </si>
  <si>
    <t>EXT-FRA</t>
  </si>
  <si>
    <t>Kylian Mbappé - Francia (×4 versiones)</t>
  </si>
  <si>
    <t>EXT-GER</t>
  </si>
  <si>
    <t>Florian Wirtz - Alemania (×4 versiones)</t>
  </si>
  <si>
    <t>EXT-MEX</t>
  </si>
  <si>
    <t>Raúl Jiménez - México (×4 versiones)</t>
  </si>
  <si>
    <t>EXT-MAR</t>
  </si>
  <si>
    <t>Achraf Hakimi - Marruecos (×4 versiones)</t>
  </si>
  <si>
    <t>EXT-NED</t>
  </si>
  <si>
    <t>Cody Gakpo - Países Bajos (×4 versiones)</t>
  </si>
  <si>
    <t>EXT-NOR</t>
  </si>
  <si>
    <t>Erling Haaland - Noruega (×4 versiones)</t>
  </si>
  <si>
    <t>EXT-POR</t>
  </si>
  <si>
    <t>Cristiano Ronaldo - Portugal (×4 versiones)</t>
  </si>
  <si>
    <t>EXT-KOR</t>
  </si>
  <si>
    <t>Heung-min Son - Corea del Sur (×4 versiones)</t>
  </si>
  <si>
    <t>EXT-ESP</t>
  </si>
  <si>
    <t>Lamine Yamal - España (×4 versiones)</t>
  </si>
  <si>
    <t>EXT-USA</t>
  </si>
  <si>
    <t>Christian Pulisic - Estados Unidos (×4 versiones)</t>
  </si>
  <si>
    <t>EXT-URU</t>
  </si>
  <si>
    <t>Federico Valverde - Uruguay (×4 versiones)</t>
  </si>
  <si>
    <t>CC1</t>
  </si>
  <si>
    <t>Lamine Yamal - España</t>
  </si>
  <si>
    <t>CC2</t>
  </si>
  <si>
    <t>Joshua Kimmich - Alemania</t>
  </si>
  <si>
    <t>CC3</t>
  </si>
  <si>
    <t>Eduardo Camavinga - Francia</t>
  </si>
  <si>
    <t>CC4</t>
  </si>
  <si>
    <t>Joško Gvardiol - Croacia</t>
  </si>
  <si>
    <t>CC5</t>
  </si>
  <si>
    <t>Federico Valverde - Uruguay</t>
  </si>
  <si>
    <t>CC6</t>
  </si>
  <si>
    <t>Virgil van Dijk - Países Bajos</t>
  </si>
  <si>
    <t>CC7</t>
  </si>
  <si>
    <t>Alphonso Davies - Canadá</t>
  </si>
  <si>
    <t>CC8</t>
  </si>
  <si>
    <t>Raúl Jiménez - México</t>
  </si>
  <si>
    <t>CC9</t>
  </si>
  <si>
    <t>William Saliba - Francia</t>
  </si>
  <si>
    <t>CC10</t>
  </si>
  <si>
    <t>Lautaro Martínez - Argentina</t>
  </si>
  <si>
    <t>CC11</t>
  </si>
  <si>
    <t>Harry Kane - Inglaterra</t>
  </si>
  <si>
    <t>CC12</t>
  </si>
  <si>
    <t>Antonee Robinson - Estados Unidos</t>
  </si>
  <si>
    <t>Abbosbek Fayzullaev</t>
  </si>
  <si>
    <t>Mbekezeli Mbokazi</t>
  </si>
  <si>
    <t>Weston McKennie</t>
  </si>
  <si>
    <t>Cristian Martínez</t>
  </si>
  <si>
    <t>Gustavo Gómez</t>
  </si>
  <si>
    <t>Jhon Córdoba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</si>
</sst>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i/>
      <sz val="9"/>
      <color rgb="FF555555"/>
      <name val="Arial"/>
    </font>
    <font>
      <b/>
      <sz val="13"/>
      <color rgb="FFFFFFFF"/>
      <name val="Arial"/>
    </font>
    <font>
      <b/>
      <sz val="9"/>
      <name val="Arial"/>
    </font>
    <font>
      <sz val="9"/>
      <name val="Arial"/>
    </font>
    <font>
      <b/>
      <sz val="13"/>
      <color rgb="FF000000"/>
      <name val="Arial"/>
    </font>
    <font>
      <b/>
      <sz val="13"/>
      <color rgb="FFFFD700"/>
      <name val="Arial"/>
    </font>
  </fonts>
  <fills count="6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FFAAAA"/>
      </patternFill>
    </fill>
    <fill>
      <patternFill patternType="solid">
        <fgColor rgb="FFA5D6A7"/>
      </patternFill>
    </fill>
    <fill>
      <patternFill patternType="solid">
        <fgColor rgb="FFBCAAA4"/>
      </patternFill>
    </fill>
    <fill>
      <patternFill patternType="solid">
        <fgColor rgb="FF90CAF9"/>
      </patternFill>
    </fill>
    <fill>
      <patternFill patternType="solid">
        <fgColor rgb="FF006847"/>
      </patternFill>
    </fill>
    <fill>
      <patternFill patternType="solid">
        <fgColor rgb="FF007A4D"/>
      </patternFill>
    </fill>
    <fill>
      <patternFill patternType="solid">
        <fgColor rgb="FFC60C30"/>
      </patternFill>
    </fill>
    <fill>
      <patternFill patternType="solid">
        <fgColor rgb="FFD7141A"/>
      </patternFill>
    </fill>
    <fill>
      <patternFill patternType="solid">
        <fgColor rgb="FFFF0000"/>
      </patternFill>
    </fill>
    <fill>
      <patternFill patternType="solid">
        <fgColor rgb="FF002395"/>
      </patternFill>
    </fill>
    <fill>
      <patternFill patternType="solid">
        <fgColor rgb="FF8D1B3D"/>
      </patternFill>
    </fill>
    <fill>
      <patternFill patternType="solid">
        <fgColor rgb="FF009C3B"/>
      </patternFill>
    </fill>
    <fill>
      <patternFill patternType="solid">
        <fgColor rgb="FFC1272D"/>
      </patternFill>
    </fill>
    <fill>
      <patternFill patternType="solid">
        <fgColor rgb="FF00209F"/>
      </patternFill>
    </fill>
    <fill>
      <patternFill patternType="solid">
        <fgColor rgb="FF003DA5"/>
      </patternFill>
    </fill>
    <fill>
      <patternFill patternType="solid">
        <fgColor rgb="FFB22234"/>
      </patternFill>
    </fill>
    <fill>
      <patternFill patternType="solid">
        <fgColor rgb="FFD52B1E"/>
      </patternFill>
    </fill>
    <fill>
      <patternFill patternType="solid">
        <fgColor rgb="FF00843D"/>
      </patternFill>
    </fill>
    <fill>
      <patternFill patternType="solid">
        <fgColor rgb="FFE30A17"/>
      </patternFill>
    </fill>
    <fill>
      <patternFill patternType="solid"/>
    </fill>
    <fill>
      <patternFill patternType="solid">
        <fgColor rgb="FFF77F00"/>
      </patternFill>
    </fill>
    <fill>
      <patternFill patternType="solid">
        <fgColor rgb="FFFFD100"/>
      </patternFill>
    </fill>
    <fill>
      <patternFill patternType="solid">
        <fgColor rgb="FFFF6600"/>
      </patternFill>
    </fill>
    <fill>
      <patternFill patternType="solid">
        <fgColor rgb="FFBC002D"/>
      </patternFill>
    </fill>
    <fill>
      <patternFill patternType="solid">
        <fgColor rgb="FF006AA7"/>
      </patternFill>
    </fill>
    <fill>
      <patternFill patternType="solid">
        <fgColor rgb="FFE70013"/>
      </patternFill>
    </fill>
    <fill>
      <patternFill patternType="solid">
        <fgColor rgb="FFCE1126"/>
      </patternFill>
    </fill>
    <fill>
      <patternFill patternType="solid">
        <fgColor rgb="FF239F40"/>
      </patternFill>
    </fill>
    <fill>
      <patternFill patternType="solid">
        <fgColor rgb="FFC60B1E"/>
      </patternFill>
    </fill>
    <fill>
      <patternFill patternType="solid">
        <fgColor rgb="FF009A44"/>
      </patternFill>
    </fill>
    <fill>
      <patternFill patternType="solid">
        <fgColor rgb="FF006C35"/>
      </patternFill>
    </fill>
    <fill>
      <patternFill patternType="solid">
        <fgColor rgb="FF75AADB"/>
      </patternFill>
    </fill>
    <fill>
      <patternFill patternType="solid">
        <fgColor rgb="FF00853F"/>
      </patternFill>
    </fill>
    <fill>
      <patternFill patternType="solid">
        <fgColor rgb="FF007A3D"/>
      </patternFill>
    </fill>
    <fill>
      <patternFill patternType="solid">
        <fgColor rgb="FFEF2B2D"/>
      </patternFill>
    </fill>
    <fill>
      <patternFill patternType="solid">
        <fgColor rgb="FF006233"/>
      </patternFill>
    </fill>
    <fill>
      <patternFill patternType="solid">
        <fgColor rgb="FFED2939"/>
      </patternFill>
    </fill>
    <fill>
      <patternFill patternType="solid">
        <fgColor rgb="FF006600"/>
      </patternFill>
    </fill>
    <fill>
      <patternFill patternType="solid">
        <fgColor rgb="FF007FFF"/>
      </patternFill>
    </fill>
    <fill>
      <patternFill patternType="solid">
        <fgColor rgb="FF1EB53A"/>
      </patternFill>
    </fill>
    <fill>
      <patternFill patternType="solid">
        <fgColor rgb="FFFCD116"/>
      </patternFill>
    </fill>
    <fill>
      <patternFill patternType="solid">
        <fgColor rgb="FFCF142B"/>
      </patternFill>
    </fill>
    <fill>
      <patternFill patternType="solid">
        <fgColor rgb="FF006B3F"/>
      </patternFill>
    </fill>
    <fill>
      <patternFill patternType="solid">
        <fgColor rgb="FFDA121A"/>
      </patternFill>
    </fill>
    <fill>
      <patternFill patternType="solid">
        <fgColor rgb="FF4A148C"/>
      </patternFill>
    </fill>
    <fill>
      <patternFill patternType="solid">
        <fgColor rgb="FFB8860B"/>
      </patternFill>
    </fill>
    <fill>
      <patternFill patternType="solid">
        <fgColor rgb="FFC8102E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3" fillId="60" borderId="2" xfId="0" applyFont="1" applyFill="1" applyBorder="1" applyAlignment="1">
      <alignment horizontal="center" vertical="center"/>
    </xf>
    <xf numFmtId="0" fontId="3" fillId="61" borderId="2" xfId="0" applyFont="1" applyFill="1" applyBorder="1" applyAlignment="1">
      <alignment horizontal="center" vertical="center"/>
    </xf>
    <xf numFmtId="0" fontId="3" fillId="62" borderId="2" xfId="0" applyFont="1" applyFill="1" applyBorder="1" applyAlignment="1">
      <alignment horizontal="center" vertical="center"/>
    </xf>
    <xf numFmtId="0" fontId="3" fillId="63" borderId="2" xfId="0" applyFont="1" applyFill="1" applyBorder="1" applyAlignment="1">
      <alignment horizontal="center" vertical="center"/>
    </xf>
    <xf numFmtId="0" fontId="3" fillId="64" borderId="2" xfId="0" applyFont="1" applyFill="1" applyBorder="1" applyAlignment="1">
      <alignment horizontal="center" vertical="center"/>
    </xf>
    <xf numFmtId="0" fontId="7" fillId="59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7" fillId="23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7" fillId="25" borderId="0" xfId="0" applyFont="1" applyFill="1" applyAlignment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7" fillId="27" borderId="0" xfId="0" applyFont="1" applyFill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29" borderId="0" xfId="0" applyFont="1" applyFill="1" applyAlignment="1">
      <alignment horizontal="center" vertical="center"/>
    </xf>
    <xf numFmtId="0" fontId="7" fillId="30" borderId="0" xfId="0" applyFont="1" applyFill="1" applyAlignment="1">
      <alignment horizontal="center" vertical="center"/>
    </xf>
    <xf numFmtId="0" fontId="7" fillId="31" borderId="0" xfId="0" applyFont="1" applyFill="1" applyAlignment="1">
      <alignment horizontal="center" vertical="center"/>
    </xf>
    <xf numFmtId="0" fontId="7" fillId="32" borderId="0" xfId="0" applyFont="1" applyFill="1" applyAlignment="1">
      <alignment horizontal="center" vertical="center"/>
    </xf>
    <xf numFmtId="0" fontId="10" fillId="33" borderId="0" xfId="0" applyFont="1" applyFill="1" applyAlignment="1">
      <alignment horizontal="center" vertical="center"/>
    </xf>
    <xf numFmtId="0" fontId="10" fillId="34" borderId="0" xfId="0" applyFont="1" applyFill="1" applyAlignment="1">
      <alignment horizontal="center" vertical="center"/>
    </xf>
    <xf numFmtId="0" fontId="7" fillId="35" borderId="0" xfId="0" applyFont="1" applyFill="1" applyAlignment="1">
      <alignment horizontal="center" vertical="center"/>
    </xf>
    <xf numFmtId="0" fontId="7" fillId="36" borderId="0" xfId="0" applyFont="1" applyFill="1" applyAlignment="1">
      <alignment horizontal="center" vertical="center"/>
    </xf>
    <xf numFmtId="0" fontId="7" fillId="37" borderId="0" xfId="0" applyFont="1" applyFill="1" applyAlignment="1">
      <alignment horizontal="center" vertical="center"/>
    </xf>
    <xf numFmtId="0" fontId="7" fillId="38" borderId="0" xfId="0" applyFont="1" applyFill="1" applyAlignment="1">
      <alignment horizontal="center" vertical="center"/>
    </xf>
    <xf numFmtId="0" fontId="11" fillId="32" borderId="0" xfId="0" applyFont="1" applyFill="1" applyAlignment="1">
      <alignment horizontal="center" vertical="center"/>
    </xf>
    <xf numFmtId="0" fontId="7" fillId="39" borderId="0" xfId="0" applyFont="1" applyFill="1" applyAlignment="1">
      <alignment horizontal="center" vertical="center"/>
    </xf>
    <xf numFmtId="0" fontId="7" fillId="40" borderId="0" xfId="0" applyFont="1" applyFill="1" applyAlignment="1">
      <alignment horizontal="center" vertical="center"/>
    </xf>
    <xf numFmtId="0" fontId="7" fillId="41" borderId="0" xfId="0" applyFont="1" applyFill="1" applyAlignment="1">
      <alignment horizontal="center" vertical="center"/>
    </xf>
    <xf numFmtId="0" fontId="7" fillId="42" borderId="0" xfId="0" applyFont="1" applyFill="1" applyAlignment="1">
      <alignment horizontal="center" vertical="center"/>
    </xf>
    <xf numFmtId="0" fontId="7" fillId="43" borderId="0" xfId="0" applyFont="1" applyFill="1" applyAlignment="1">
      <alignment horizontal="center" vertical="center"/>
    </xf>
    <xf numFmtId="0" fontId="10" fillId="44" borderId="0" xfId="0" applyFont="1" applyFill="1" applyAlignment="1">
      <alignment horizontal="center" vertical="center"/>
    </xf>
    <xf numFmtId="0" fontId="7" fillId="45" borderId="0" xfId="0" applyFont="1" applyFill="1" applyAlignment="1">
      <alignment horizontal="center" vertical="center"/>
    </xf>
    <xf numFmtId="0" fontId="7" fillId="46" borderId="0" xfId="0" applyFont="1" applyFill="1" applyAlignment="1">
      <alignment horizontal="center" vertical="center"/>
    </xf>
    <xf numFmtId="0" fontId="7" fillId="47" borderId="0" xfId="0" applyFont="1" applyFill="1" applyAlignment="1">
      <alignment horizontal="center" vertical="center"/>
    </xf>
    <xf numFmtId="0" fontId="7" fillId="48" borderId="0" xfId="0" applyFont="1" applyFill="1" applyAlignment="1">
      <alignment horizontal="center" vertical="center"/>
    </xf>
    <xf numFmtId="0" fontId="7" fillId="49" borderId="0" xfId="0" applyFont="1" applyFill="1" applyAlignment="1">
      <alignment horizontal="center" vertical="center"/>
    </xf>
    <xf numFmtId="0" fontId="7" fillId="50" borderId="0" xfId="0" applyFont="1" applyFill="1" applyAlignment="1">
      <alignment horizontal="center" vertical="center"/>
    </xf>
    <xf numFmtId="0" fontId="7" fillId="51" borderId="0" xfId="0" applyFont="1" applyFill="1" applyAlignment="1">
      <alignment horizontal="center" vertical="center"/>
    </xf>
    <xf numFmtId="0" fontId="7" fillId="52" borderId="0" xfId="0" applyFont="1" applyFill="1" applyAlignment="1">
      <alignment horizontal="center" vertical="center"/>
    </xf>
    <xf numFmtId="0" fontId="10" fillId="53" borderId="0" xfId="0" applyFont="1" applyFill="1" applyAlignment="1">
      <alignment horizontal="center" vertical="center"/>
    </xf>
    <xf numFmtId="0" fontId="7" fillId="54" borderId="0" xfId="0" applyFont="1" applyFill="1" applyAlignment="1">
      <alignment horizontal="center" vertical="center"/>
    </xf>
    <xf numFmtId="0" fontId="7" fillId="55" borderId="0" xfId="0" applyFont="1" applyFill="1" applyAlignment="1">
      <alignment horizontal="center" vertical="center"/>
    </xf>
    <xf numFmtId="0" fontId="7" fillId="56" borderId="0" xfId="0" applyFont="1" applyFill="1" applyAlignment="1">
      <alignment horizontal="center" vertical="center"/>
    </xf>
    <xf numFmtId="0" fontId="7" fillId="57" borderId="0" xfId="0" applyFont="1" applyFill="1" applyAlignment="1">
      <alignment horizontal="center" vertical="center"/>
    </xf>
    <xf numFmtId="0" fontId="7" fillId="5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31" workbookViewId="0">
      <selection activeCell="L48" sqref="L48"/>
    </sheetView>
  </sheetViews>
  <sheetFormatPr defaultRowHeight="14.4" x14ac:dyDescent="0.3"/>
  <cols>
    <col min="1" max="1" width="32" customWidth="1"/>
    <col min="2" max="2" width="8" customWidth="1"/>
    <col min="3" max="4" width="9" customWidth="1"/>
    <col min="5" max="5" width="11" customWidth="1"/>
    <col min="6" max="6" width="10" customWidth="1"/>
    <col min="7" max="7" width="13" customWidth="1"/>
  </cols>
  <sheetData>
    <row r="1" spans="1:7" ht="31.95" customHeight="1" x14ac:dyDescent="0.3">
      <c r="A1" s="35" t="s">
        <v>0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" t="s">
        <v>8</v>
      </c>
      <c r="B3" s="3">
        <v>9</v>
      </c>
      <c r="C3" s="4">
        <f>COUNTIF(INTRODUCCIÓN!C3:C11,"")</f>
        <v>0</v>
      </c>
      <c r="D3" s="5">
        <f>COUNTIF(INTRODUCCIÓN!D3:D11,"X")</f>
        <v>0</v>
      </c>
      <c r="E3" s="6">
        <f>SUMIF(INTRODUCCIÓN!E3:E11,"&gt;"&amp;0,INTRODUCCIÓN!E3:E11)</f>
        <v>8</v>
      </c>
      <c r="F3" s="7">
        <f>SUM(INTRODUCCIÓN!F3:F11)</f>
        <v>8</v>
      </c>
      <c r="G3" s="8">
        <f>SUM(INTRODUCCIÓN!G3:G11)</f>
        <v>0</v>
      </c>
    </row>
    <row r="4" spans="1:7" ht="16.05" customHeight="1" x14ac:dyDescent="0.3">
      <c r="A4" s="9" t="s">
        <v>9</v>
      </c>
      <c r="B4" s="10">
        <v>20</v>
      </c>
      <c r="C4" s="4">
        <f>COUNTIF('GRUPO A · México'!C3:C22,"")</f>
        <v>0</v>
      </c>
      <c r="D4" s="5">
        <f>COUNTIF('GRUPO A · México'!D3:D22,"X")</f>
        <v>0</v>
      </c>
      <c r="E4" s="6">
        <f>SUMIF('GRUPO A · México'!E3:E22,"&gt;"&amp;0,'GRUPO A · México'!E3:E22)</f>
        <v>12</v>
      </c>
      <c r="F4" s="7">
        <f>SUM('GRUPO A · México'!F3:F22)</f>
        <v>12</v>
      </c>
      <c r="G4" s="8">
        <f>SUM('GRUPO A · México'!G3:G22)</f>
        <v>0</v>
      </c>
    </row>
    <row r="5" spans="1:7" ht="16.05" customHeight="1" x14ac:dyDescent="0.3">
      <c r="A5" s="2" t="s">
        <v>10</v>
      </c>
      <c r="B5" s="3">
        <v>20</v>
      </c>
      <c r="C5" s="4">
        <f>COUNTIF('GRUPO A · South Africa'!C3:C22,"")</f>
        <v>0</v>
      </c>
      <c r="D5" s="5">
        <f>COUNTIF('GRUPO A · South Africa'!D3:D22,"X")</f>
        <v>0</v>
      </c>
      <c r="E5" s="6">
        <f>SUMIF('GRUPO A · South Africa'!E3:E22,"&gt;"&amp;0,'GRUPO A · South Africa'!E3:E22)</f>
        <v>20</v>
      </c>
      <c r="F5" s="7">
        <f>SUM('GRUPO A · South Africa'!F3:F22)</f>
        <v>20</v>
      </c>
      <c r="G5" s="8">
        <f>SUM('GRUPO A · South Africa'!G3:G22)</f>
        <v>0</v>
      </c>
    </row>
    <row r="6" spans="1:7" ht="16.05" customHeight="1" x14ac:dyDescent="0.3">
      <c r="A6" s="9" t="s">
        <v>11</v>
      </c>
      <c r="B6" s="10">
        <v>20</v>
      </c>
      <c r="C6" s="4">
        <f>COUNTIF('GRUPO A · Korea Republic'!C3:C22,"")</f>
        <v>0</v>
      </c>
      <c r="D6" s="5">
        <f>COUNTIF('GRUPO A · Korea Republic'!D3:D22,"X")</f>
        <v>0</v>
      </c>
      <c r="E6" s="6">
        <f>SUMIF('GRUPO A · Korea Republic'!E3:E22,"&gt;"&amp;0,'GRUPO A · Korea Republic'!E3:E22)</f>
        <v>18</v>
      </c>
      <c r="F6" s="7">
        <f>SUM('GRUPO A · Korea Republic'!F3:F22)</f>
        <v>18</v>
      </c>
      <c r="G6" s="8">
        <f>SUM('GRUPO A · Korea Republic'!G3:G22)</f>
        <v>0</v>
      </c>
    </row>
    <row r="7" spans="1:7" ht="16.05" customHeight="1" x14ac:dyDescent="0.3">
      <c r="A7" s="2" t="s">
        <v>12</v>
      </c>
      <c r="B7" s="3">
        <v>20</v>
      </c>
      <c r="C7" s="4">
        <f>COUNTIF('GRUPO A · Czechia'!C3:C22,"")</f>
        <v>0</v>
      </c>
      <c r="D7" s="5">
        <f>COUNTIF('GRUPO A · Czechia'!D3:D22,"X")</f>
        <v>0</v>
      </c>
      <c r="E7" s="6">
        <f>SUMIF('GRUPO A · Czechia'!E3:E22,"&gt;"&amp;0,'GRUPO A · Czechia'!E3:E22)</f>
        <v>18</v>
      </c>
      <c r="F7" s="7">
        <f>SUM('GRUPO A · Czechia'!F3:F22)</f>
        <v>18</v>
      </c>
      <c r="G7" s="8">
        <f>SUM('GRUPO A · Czechia'!G3:G22)</f>
        <v>0</v>
      </c>
    </row>
    <row r="8" spans="1:7" ht="16.05" customHeight="1" x14ac:dyDescent="0.3">
      <c r="A8" s="9" t="s">
        <v>13</v>
      </c>
      <c r="B8" s="10">
        <v>20</v>
      </c>
      <c r="C8" s="4">
        <f>COUNTIF('GRUPO B · Canadá'!C3:C22,"")</f>
        <v>0</v>
      </c>
      <c r="D8" s="5">
        <f>COUNTIF('GRUPO B · Canadá'!D3:D22,"X")</f>
        <v>0</v>
      </c>
      <c r="E8" s="6">
        <f>SUMIF('GRUPO B · Canadá'!E3:E22,"&gt;"&amp;0,'GRUPO B · Canadá'!E3:E22)</f>
        <v>13</v>
      </c>
      <c r="F8" s="7">
        <f>SUM('GRUPO B · Canadá'!F3:F22)</f>
        <v>13</v>
      </c>
      <c r="G8" s="8">
        <f>SUM('GRUPO B · Canadá'!G3:G22)</f>
        <v>0</v>
      </c>
    </row>
    <row r="9" spans="1:7" ht="16.05" customHeight="1" x14ac:dyDescent="0.3">
      <c r="A9" s="2" t="s">
        <v>14</v>
      </c>
      <c r="B9" s="3">
        <v>20</v>
      </c>
      <c r="C9" s="4">
        <f>COUNTIF('GRUPO B · Bosnia-Herzegovina'!C3:C22,"")</f>
        <v>0</v>
      </c>
      <c r="D9" s="5">
        <f>COUNTIF('GRUPO B · Bosnia-Herzegovina'!D3:D22,"X")</f>
        <v>0</v>
      </c>
      <c r="E9" s="6">
        <f>SUMIF('GRUPO B · Bosnia-Herzegovina'!E3:E22,"&gt;"&amp;0,'GRUPO B · Bosnia-Herzegovina'!E3:E22)</f>
        <v>20</v>
      </c>
      <c r="F9" s="7">
        <f>SUM('GRUPO B · Bosnia-Herzegovina'!F3:F22)</f>
        <v>20</v>
      </c>
      <c r="G9" s="8">
        <f>SUM('GRUPO B · Bosnia-Herzegovina'!G3:G22)</f>
        <v>0</v>
      </c>
    </row>
    <row r="10" spans="1:7" ht="16.05" customHeight="1" x14ac:dyDescent="0.3">
      <c r="A10" s="9" t="s">
        <v>15</v>
      </c>
      <c r="B10" s="10">
        <v>20</v>
      </c>
      <c r="C10" s="4">
        <f>COUNTIF('GRUPO B · Qatar'!C3:C22,"")</f>
        <v>0</v>
      </c>
      <c r="D10" s="5">
        <f>COUNTIF('GRUPO B · Qatar'!D3:D22,"X")</f>
        <v>0</v>
      </c>
      <c r="E10" s="6">
        <f>SUMIF('GRUPO B · Qatar'!E3:E22,"&gt;"&amp;0,'GRUPO B · Qatar'!E3:E22)</f>
        <v>14</v>
      </c>
      <c r="F10" s="7">
        <f>SUM('GRUPO B · Qatar'!F3:F22)</f>
        <v>14</v>
      </c>
      <c r="G10" s="8">
        <f>SUM('GRUPO B · Qatar'!G3:G22)</f>
        <v>0</v>
      </c>
    </row>
    <row r="11" spans="1:7" ht="16.05" customHeight="1" x14ac:dyDescent="0.3">
      <c r="A11" s="2" t="s">
        <v>16</v>
      </c>
      <c r="B11" s="3">
        <v>20</v>
      </c>
      <c r="C11" s="4">
        <f>COUNTIF('GRUPO B · Switzerland'!C3:C22,"")</f>
        <v>0</v>
      </c>
      <c r="D11" s="5">
        <f>COUNTIF('GRUPO B · Switzerland'!D3:D22,"X")</f>
        <v>0</v>
      </c>
      <c r="E11" s="6">
        <f>SUMIF('GRUPO B · Switzerland'!E3:E22,"&gt;"&amp;0,'GRUPO B · Switzerland'!E3:E22)</f>
        <v>14</v>
      </c>
      <c r="F11" s="7">
        <f>SUM('GRUPO B · Switzerland'!F3:F22)</f>
        <v>14</v>
      </c>
      <c r="G11" s="8">
        <f>SUM('GRUPO B · Switzerland'!G3:G22)</f>
        <v>0</v>
      </c>
    </row>
    <row r="12" spans="1:7" ht="16.05" customHeight="1" x14ac:dyDescent="0.3">
      <c r="A12" s="9" t="s">
        <v>17</v>
      </c>
      <c r="B12" s="10">
        <v>20</v>
      </c>
      <c r="C12" s="4">
        <f>COUNTIF('GRUPO C · Brazil'!C3:C22,"")</f>
        <v>0</v>
      </c>
      <c r="D12" s="5">
        <f>COUNTIF('GRUPO C · Brazil'!D3:D22,"X")</f>
        <v>0</v>
      </c>
      <c r="E12" s="6">
        <f>SUMIF('GRUPO C · Brazil'!E3:E22,"&gt;"&amp;0,'GRUPO C · Brazil'!E3:E22)</f>
        <v>17</v>
      </c>
      <c r="F12" s="7">
        <f>SUM('GRUPO C · Brazil'!F3:F22)</f>
        <v>17</v>
      </c>
      <c r="G12" s="8">
        <f>SUM('GRUPO C · Brazil'!G3:G22)</f>
        <v>0</v>
      </c>
    </row>
    <row r="13" spans="1:7" ht="16.05" customHeight="1" x14ac:dyDescent="0.3">
      <c r="A13" s="2" t="s">
        <v>18</v>
      </c>
      <c r="B13" s="3">
        <v>20</v>
      </c>
      <c r="C13" s="4">
        <f>COUNTIF('GRUPO C · Morocco'!C3:C22,"")</f>
        <v>0</v>
      </c>
      <c r="D13" s="5">
        <f>COUNTIF('GRUPO C · Morocco'!D3:D22,"X")</f>
        <v>0</v>
      </c>
      <c r="E13" s="6">
        <f>SUMIF('GRUPO C · Morocco'!E3:E22,"&gt;"&amp;0,'GRUPO C · Morocco'!E3:E22)</f>
        <v>12</v>
      </c>
      <c r="F13" s="7">
        <f>SUM('GRUPO C · Morocco'!F3:F22)</f>
        <v>12</v>
      </c>
      <c r="G13" s="8">
        <f>SUM('GRUPO C · Morocco'!G3:G22)</f>
        <v>0</v>
      </c>
    </row>
    <row r="14" spans="1:7" ht="16.05" customHeight="1" x14ac:dyDescent="0.3">
      <c r="A14" s="9" t="s">
        <v>19</v>
      </c>
      <c r="B14" s="10">
        <v>20</v>
      </c>
      <c r="C14" s="4">
        <f>COUNTIF('GRUPO C · Haiti'!C3:C22,"")</f>
        <v>0</v>
      </c>
      <c r="D14" s="5">
        <f>COUNTIF('GRUPO C · Haiti'!D3:D22,"X")</f>
        <v>0</v>
      </c>
      <c r="E14" s="6">
        <f>SUMIF('GRUPO C · Haiti'!E3:E22,"&gt;"&amp;0,'GRUPO C · Haiti'!E3:E22)</f>
        <v>15</v>
      </c>
      <c r="F14" s="7">
        <f>SUM('GRUPO C · Haiti'!F3:F22)</f>
        <v>15</v>
      </c>
      <c r="G14" s="8">
        <f>SUM('GRUPO C · Haiti'!G3:G22)</f>
        <v>0</v>
      </c>
    </row>
    <row r="15" spans="1:7" ht="16.05" customHeight="1" x14ac:dyDescent="0.3">
      <c r="A15" s="2" t="s">
        <v>20</v>
      </c>
      <c r="B15" s="3">
        <v>20</v>
      </c>
      <c r="C15" s="4">
        <f>COUNTIF('GRUPO C · Scotland'!C3:C22,"")</f>
        <v>0</v>
      </c>
      <c r="D15" s="5">
        <f>COUNTIF('GRUPO C · Scotland'!D3:D22,"X")</f>
        <v>0</v>
      </c>
      <c r="E15" s="6">
        <f>SUMIF('GRUPO C · Scotland'!E3:E22,"&gt;"&amp;0,'GRUPO C · Scotland'!E3:E22)</f>
        <v>20</v>
      </c>
      <c r="F15" s="7">
        <f>SUM('GRUPO C · Scotland'!F3:F22)</f>
        <v>20</v>
      </c>
      <c r="G15" s="8">
        <f>SUM('GRUPO C · Scotland'!G3:G22)</f>
        <v>0</v>
      </c>
    </row>
    <row r="16" spans="1:7" ht="16.05" customHeight="1" x14ac:dyDescent="0.3">
      <c r="A16" s="9" t="s">
        <v>21</v>
      </c>
      <c r="B16" s="10">
        <v>20</v>
      </c>
      <c r="C16" s="4">
        <f>COUNTIF('GRUPO D · USA'!C3:C22,"")</f>
        <v>0</v>
      </c>
      <c r="D16" s="5">
        <f>COUNTIF('GRUPO D · USA'!D3:D22,"X")</f>
        <v>0</v>
      </c>
      <c r="E16" s="6">
        <f>SUMIF('GRUPO D · USA'!E3:E22,"&gt;"&amp;0,'GRUPO D · USA'!E3:E22)</f>
        <v>14</v>
      </c>
      <c r="F16" s="7">
        <f>SUM('GRUPO D · USA'!F3:F22)</f>
        <v>14</v>
      </c>
      <c r="G16" s="8">
        <f>SUM('GRUPO D · USA'!G3:G22)</f>
        <v>0</v>
      </c>
    </row>
    <row r="17" spans="1:7" ht="16.05" customHeight="1" x14ac:dyDescent="0.3">
      <c r="A17" s="2" t="s">
        <v>22</v>
      </c>
      <c r="B17" s="3">
        <v>20</v>
      </c>
      <c r="C17" s="4">
        <f>COUNTIF('GRUPO D · Paraguay'!C3:C22,"")</f>
        <v>0</v>
      </c>
      <c r="D17" s="5">
        <f>COUNTIF('GRUPO D · Paraguay'!D3:D22,"X")</f>
        <v>0</v>
      </c>
      <c r="E17" s="6">
        <f>SUMIF('GRUPO D · Paraguay'!E3:E22,"&gt;"&amp;0,'GRUPO D · Paraguay'!E3:E22)</f>
        <v>17</v>
      </c>
      <c r="F17" s="7">
        <f>SUM('GRUPO D · Paraguay'!F3:F22)</f>
        <v>17</v>
      </c>
      <c r="G17" s="8">
        <f>SUM('GRUPO D · Paraguay'!G3:G22)</f>
        <v>0</v>
      </c>
    </row>
    <row r="18" spans="1:7" ht="16.05" customHeight="1" x14ac:dyDescent="0.3">
      <c r="A18" s="9" t="s">
        <v>23</v>
      </c>
      <c r="B18" s="10">
        <v>20</v>
      </c>
      <c r="C18" s="4">
        <f>COUNTIF('GRUPO D · Australia'!C3:C22,"")</f>
        <v>0</v>
      </c>
      <c r="D18" s="5">
        <f>COUNTIF('GRUPO D · Australia'!D3:D22,"X")</f>
        <v>0</v>
      </c>
      <c r="E18" s="6">
        <f>SUMIF('GRUPO D · Australia'!E3:E22,"&gt;"&amp;0,'GRUPO D · Australia'!E3:E22)</f>
        <v>16</v>
      </c>
      <c r="F18" s="7">
        <f>SUM('GRUPO D · Australia'!F3:F22)</f>
        <v>16</v>
      </c>
      <c r="G18" s="8">
        <f>SUM('GRUPO D · Australia'!G3:G22)</f>
        <v>0</v>
      </c>
    </row>
    <row r="19" spans="1:7" ht="16.05" customHeight="1" x14ac:dyDescent="0.3">
      <c r="A19" s="2" t="s">
        <v>24</v>
      </c>
      <c r="B19" s="3">
        <v>20</v>
      </c>
      <c r="C19" s="4">
        <f>COUNTIF('GRUPO D · Türkiye'!C3:C22,"")</f>
        <v>0</v>
      </c>
      <c r="D19" s="5">
        <f>COUNTIF('GRUPO D · Türkiye'!D3:D22,"X")</f>
        <v>0</v>
      </c>
      <c r="E19" s="6">
        <f>SUMIF('GRUPO D · Türkiye'!E3:E22,"&gt;"&amp;0,'GRUPO D · Türkiye'!E3:E22)</f>
        <v>15</v>
      </c>
      <c r="F19" s="7">
        <f>SUM('GRUPO D · Türkiye'!F3:F22)</f>
        <v>15</v>
      </c>
      <c r="G19" s="8">
        <f>SUM('GRUPO D · Türkiye'!G3:G22)</f>
        <v>0</v>
      </c>
    </row>
    <row r="20" spans="1:7" ht="16.05" customHeight="1" x14ac:dyDescent="0.3">
      <c r="A20" s="9" t="s">
        <v>25</v>
      </c>
      <c r="B20" s="10">
        <v>20</v>
      </c>
      <c r="C20" s="4">
        <f>COUNTIF('GRUPO E · Germany'!C3:C22,"")</f>
        <v>0</v>
      </c>
      <c r="D20" s="5">
        <f>COUNTIF('GRUPO E · Germany'!D3:D22,"X")</f>
        <v>0</v>
      </c>
      <c r="E20" s="6">
        <f>SUMIF('GRUPO E · Germany'!E3:E22,"&gt;"&amp;0,'GRUPO E · Germany'!E3:E22)</f>
        <v>18</v>
      </c>
      <c r="F20" s="7">
        <f>SUM('GRUPO E · Germany'!F3:F22)</f>
        <v>18</v>
      </c>
      <c r="G20" s="8">
        <f>SUM('GRUPO E · Germany'!G3:G22)</f>
        <v>0</v>
      </c>
    </row>
    <row r="21" spans="1:7" ht="16.05" customHeight="1" x14ac:dyDescent="0.3">
      <c r="A21" s="2" t="s">
        <v>26</v>
      </c>
      <c r="B21" s="3">
        <v>20</v>
      </c>
      <c r="C21" s="4">
        <f>COUNTIF('GRUPO E · Curaçao'!C3:C22,"")</f>
        <v>0</v>
      </c>
      <c r="D21" s="5">
        <f>COUNTIF('GRUPO E · Curaçao'!D3:D22,"X")</f>
        <v>0</v>
      </c>
      <c r="E21" s="6">
        <f>SUMIF('GRUPO E · Curaçao'!E3:E22,"&gt;"&amp;0,'GRUPO E · Curaçao'!E3:E22)</f>
        <v>16</v>
      </c>
      <c r="F21" s="7">
        <f>SUM('GRUPO E · Curaçao'!F3:F22)</f>
        <v>16</v>
      </c>
      <c r="G21" s="8">
        <f>SUM('GRUPO E · Curaçao'!G3:G22)</f>
        <v>0</v>
      </c>
    </row>
    <row r="22" spans="1:7" ht="16.05" customHeight="1" x14ac:dyDescent="0.3">
      <c r="A22" s="9" t="s">
        <v>27</v>
      </c>
      <c r="B22" s="10">
        <v>20</v>
      </c>
      <c r="C22" s="27">
        <f>COUNTIF('GRUPO E · Cote dIvoire'!C3:C22,"")</f>
        <v>0</v>
      </c>
      <c r="D22" s="28">
        <f>COUNTIF('GRUPO E · Cote dIvoire'!D3:D22,"X")</f>
        <v>0</v>
      </c>
      <c r="E22" s="29">
        <f>SUMIF('GRUPO E · Cote dIvoire'!E3:E22,"&gt;"&amp;0,'GRUPO E · Cote dIvoire'!E3:E22)</f>
        <v>18</v>
      </c>
      <c r="F22" s="30">
        <f>SUM('GRUPO E · Cote dIvoire'!F3:F22)</f>
        <v>18</v>
      </c>
      <c r="G22" s="31">
        <f>SUM('GRUPO E · Cote dIvoire'!G3:G22)</f>
        <v>0</v>
      </c>
    </row>
    <row r="23" spans="1:7" ht="16.05" customHeight="1" x14ac:dyDescent="0.3">
      <c r="A23" s="2" t="s">
        <v>28</v>
      </c>
      <c r="B23" s="3">
        <v>20</v>
      </c>
      <c r="C23" s="4">
        <f>COUNTIF('GRUPO E · Ecuador'!C3:C22,"")</f>
        <v>0</v>
      </c>
      <c r="D23" s="5">
        <f>COUNTIF('GRUPO E · Ecuador'!D3:D22,"X")</f>
        <v>0</v>
      </c>
      <c r="E23" s="6">
        <f>SUMIF('GRUPO E · Ecuador'!E3:E22,"&gt;"&amp;0,'GRUPO E · Ecuador'!E3:E22)</f>
        <v>20</v>
      </c>
      <c r="F23" s="7">
        <f>SUM('GRUPO E · Ecuador'!F3:F22)</f>
        <v>20</v>
      </c>
      <c r="G23" s="8">
        <f>SUM('GRUPO E · Ecuador'!G3:G22)</f>
        <v>0</v>
      </c>
    </row>
    <row r="24" spans="1:7" ht="16.05" customHeight="1" x14ac:dyDescent="0.3">
      <c r="A24" s="9" t="s">
        <v>29</v>
      </c>
      <c r="B24" s="10">
        <v>20</v>
      </c>
      <c r="C24" s="4">
        <f>COUNTIF('GRUPO F · Netherlands'!C3:C22,"")</f>
        <v>0</v>
      </c>
      <c r="D24" s="5">
        <f>COUNTIF('GRUPO F · Netherlands'!D3:D22,"X")</f>
        <v>0</v>
      </c>
      <c r="E24" s="6">
        <f>SUMIF('GRUPO F · Netherlands'!E3:E22,"&gt;"&amp;0,'GRUPO F · Netherlands'!E3:E22)</f>
        <v>15</v>
      </c>
      <c r="F24" s="7">
        <f>SUM('GRUPO F · Netherlands'!F3:F22)</f>
        <v>15</v>
      </c>
      <c r="G24" s="8">
        <f>SUM('GRUPO F · Netherlands'!G3:G22)</f>
        <v>0</v>
      </c>
    </row>
    <row r="25" spans="1:7" ht="16.05" customHeight="1" x14ac:dyDescent="0.3">
      <c r="A25" s="2" t="s">
        <v>30</v>
      </c>
      <c r="B25" s="3">
        <v>20</v>
      </c>
      <c r="C25" s="4">
        <f>COUNTIF('GRUPO F · Japan'!C3:C22,"")</f>
        <v>0</v>
      </c>
      <c r="D25" s="5">
        <f>COUNTIF('GRUPO F · Japan'!D3:D22,"X")</f>
        <v>0</v>
      </c>
      <c r="E25" s="6">
        <f>SUMIF('GRUPO F · Japan'!E3:E22,"&gt;"&amp;0,'GRUPO F · Japan'!E3:E22)</f>
        <v>15</v>
      </c>
      <c r="F25" s="7">
        <f>SUM('GRUPO F · Japan'!F3:F22)</f>
        <v>15</v>
      </c>
      <c r="G25" s="8">
        <f>SUM('GRUPO F · Japan'!G3:G22)</f>
        <v>0</v>
      </c>
    </row>
    <row r="26" spans="1:7" ht="16.05" customHeight="1" x14ac:dyDescent="0.3">
      <c r="A26" s="9" t="s">
        <v>31</v>
      </c>
      <c r="B26" s="10">
        <v>20</v>
      </c>
      <c r="C26" s="4">
        <f>COUNTIF('GRUPO F · Sweden'!C3:C22,"")</f>
        <v>0</v>
      </c>
      <c r="D26" s="5">
        <f>COUNTIF('GRUPO F · Sweden'!D3:D22,"X")</f>
        <v>0</v>
      </c>
      <c r="E26" s="6">
        <f>SUMIF('GRUPO F · Sweden'!E3:E22,"&gt;"&amp;0,'GRUPO F · Sweden'!E3:E22)</f>
        <v>14</v>
      </c>
      <c r="F26" s="7">
        <f>SUM('GRUPO F · Sweden'!F3:F22)</f>
        <v>14</v>
      </c>
      <c r="G26" s="8">
        <f>SUM('GRUPO F · Sweden'!G3:G22)</f>
        <v>0</v>
      </c>
    </row>
    <row r="27" spans="1:7" ht="16.05" customHeight="1" x14ac:dyDescent="0.3">
      <c r="A27" s="2" t="s">
        <v>32</v>
      </c>
      <c r="B27" s="3">
        <v>20</v>
      </c>
      <c r="C27" s="4">
        <f>COUNTIF('GRUPO F · Tunisia'!C3:C22,"")</f>
        <v>0</v>
      </c>
      <c r="D27" s="5">
        <f>COUNTIF('GRUPO F · Tunisia'!D3:D22,"X")</f>
        <v>0</v>
      </c>
      <c r="E27" s="6">
        <f>SUMIF('GRUPO F · Tunisia'!E3:E22,"&gt;"&amp;0,'GRUPO F · Tunisia'!E3:E22)</f>
        <v>9</v>
      </c>
      <c r="F27" s="7">
        <f>SUM('GRUPO F · Tunisia'!F3:F22)</f>
        <v>9</v>
      </c>
      <c r="G27" s="8">
        <f>SUM('GRUPO F · Tunisia'!G3:G22)</f>
        <v>0</v>
      </c>
    </row>
    <row r="28" spans="1:7" ht="16.05" customHeight="1" x14ac:dyDescent="0.3">
      <c r="A28" s="9" t="s">
        <v>33</v>
      </c>
      <c r="B28" s="10">
        <v>20</v>
      </c>
      <c r="C28" s="4">
        <f>COUNTIF('GRUPO G · Belgium'!C3:C22,"")</f>
        <v>0</v>
      </c>
      <c r="D28" s="5">
        <f>COUNTIF('GRUPO G · Belgium'!D3:D22,"X")</f>
        <v>0</v>
      </c>
      <c r="E28" s="6">
        <f>SUMIF('GRUPO G · Belgium'!E3:E22,"&gt;"&amp;0,'GRUPO G · Belgium'!E3:E22)</f>
        <v>18</v>
      </c>
      <c r="F28" s="7">
        <f>SUM('GRUPO G · Belgium'!F3:F22)</f>
        <v>18</v>
      </c>
      <c r="G28" s="8">
        <f>SUM('GRUPO G · Belgium'!G3:G22)</f>
        <v>0</v>
      </c>
    </row>
    <row r="29" spans="1:7" ht="16.05" customHeight="1" x14ac:dyDescent="0.3">
      <c r="A29" s="2" t="s">
        <v>34</v>
      </c>
      <c r="B29" s="3">
        <v>20</v>
      </c>
      <c r="C29" s="4">
        <f>COUNTIF('GRUPO G · Egypt'!C3:C22,"")</f>
        <v>0</v>
      </c>
      <c r="D29" s="5">
        <f>COUNTIF('GRUPO G · Egypt'!D3:D22,"X")</f>
        <v>0</v>
      </c>
      <c r="E29" s="6">
        <f>SUMIF('GRUPO G · Egypt'!E3:E22,"&gt;"&amp;0,'GRUPO G · Egypt'!E3:E22)</f>
        <v>12</v>
      </c>
      <c r="F29" s="7">
        <f>SUM('GRUPO G · Egypt'!F3:F22)</f>
        <v>12</v>
      </c>
      <c r="G29" s="8">
        <f>SUM('GRUPO G · Egypt'!G3:G22)</f>
        <v>0</v>
      </c>
    </row>
    <row r="30" spans="1:7" ht="16.05" customHeight="1" x14ac:dyDescent="0.3">
      <c r="A30" s="9" t="s">
        <v>35</v>
      </c>
      <c r="B30" s="10">
        <v>20</v>
      </c>
      <c r="C30" s="4">
        <f>COUNTIF('GRUPO G · IR Iran'!C3:C22,"")</f>
        <v>0</v>
      </c>
      <c r="D30" s="5">
        <f>COUNTIF('GRUPO G · IR Iran'!D3:D22,"X")</f>
        <v>0</v>
      </c>
      <c r="E30" s="6">
        <f>SUMIF('GRUPO G · IR Iran'!E3:E22,"&gt;"&amp;0,'GRUPO G · IR Iran'!E3:E22)</f>
        <v>18</v>
      </c>
      <c r="F30" s="7">
        <f>SUM('GRUPO G · IR Iran'!F3:F22)</f>
        <v>18</v>
      </c>
      <c r="G30" s="8">
        <f>SUM('GRUPO G · IR Iran'!G3:G22)</f>
        <v>0</v>
      </c>
    </row>
    <row r="31" spans="1:7" ht="16.05" customHeight="1" x14ac:dyDescent="0.3">
      <c r="A31" s="2" t="s">
        <v>36</v>
      </c>
      <c r="B31" s="3">
        <v>20</v>
      </c>
      <c r="C31" s="4">
        <f>COUNTIF('GRUPO G · New Zealand'!C3:C22,"")</f>
        <v>0</v>
      </c>
      <c r="D31" s="5">
        <f>COUNTIF('GRUPO G · New Zealand'!D3:D22,"X")</f>
        <v>0</v>
      </c>
      <c r="E31" s="6">
        <f>SUMIF('GRUPO G · New Zealand'!E3:E22,"&gt;"&amp;0,'GRUPO G · New Zealand'!E3:E22)</f>
        <v>14</v>
      </c>
      <c r="F31" s="7">
        <f>SUM('GRUPO G · New Zealand'!F3:F22)</f>
        <v>14</v>
      </c>
      <c r="G31" s="8">
        <f>SUM('GRUPO G · New Zealand'!G3:G22)</f>
        <v>0</v>
      </c>
    </row>
    <row r="32" spans="1:7" ht="16.05" customHeight="1" x14ac:dyDescent="0.3">
      <c r="A32" s="9" t="s">
        <v>37</v>
      </c>
      <c r="B32" s="10">
        <v>20</v>
      </c>
      <c r="C32" s="4">
        <f>COUNTIF('GRUPO H · España'!C3:C22,"")</f>
        <v>0</v>
      </c>
      <c r="D32" s="5">
        <f>COUNTIF('GRUPO H · España'!D3:D22,"X")</f>
        <v>0</v>
      </c>
      <c r="E32" s="6">
        <f>SUMIF('GRUPO H · España'!E3:E22,"&gt;"&amp;0,'GRUPO H · España'!E3:E22)</f>
        <v>12</v>
      </c>
      <c r="F32" s="7">
        <f>SUM('GRUPO H · España'!F3:F22)</f>
        <v>12</v>
      </c>
      <c r="G32" s="8">
        <f>SUM('GRUPO H · España'!G3:G22)</f>
        <v>0</v>
      </c>
    </row>
    <row r="33" spans="1:7" ht="16.05" customHeight="1" x14ac:dyDescent="0.3">
      <c r="A33" s="2" t="s">
        <v>38</v>
      </c>
      <c r="B33" s="3">
        <v>20</v>
      </c>
      <c r="C33" s="4">
        <f>COUNTIF('GRUPO H · Cabo Verde'!C3:C22,"")</f>
        <v>0</v>
      </c>
      <c r="D33" s="5">
        <f>COUNTIF('GRUPO H · Cabo Verde'!D3:D22,"X")</f>
        <v>0</v>
      </c>
      <c r="E33" s="6">
        <f>SUMIF('GRUPO H · Cabo Verde'!E3:E22,"&gt;"&amp;0,'GRUPO H · Cabo Verde'!E3:E22)</f>
        <v>20</v>
      </c>
      <c r="F33" s="7">
        <f>SUM('GRUPO H · Cabo Verde'!F3:F22)</f>
        <v>20</v>
      </c>
      <c r="G33" s="8">
        <f>SUM('GRUPO H · Cabo Verde'!G3:G22)</f>
        <v>0</v>
      </c>
    </row>
    <row r="34" spans="1:7" ht="16.05" customHeight="1" x14ac:dyDescent="0.3">
      <c r="A34" s="9" t="s">
        <v>39</v>
      </c>
      <c r="B34" s="10">
        <v>20</v>
      </c>
      <c r="C34" s="4">
        <f>COUNTIF('GRUPO H · Saudi Arabia'!C3:C22,"")</f>
        <v>0</v>
      </c>
      <c r="D34" s="5">
        <f>COUNTIF('GRUPO H · Saudi Arabia'!D3:D22,"X")</f>
        <v>0</v>
      </c>
      <c r="E34" s="6">
        <f>SUMIF('GRUPO H · Saudi Arabia'!E3:E22,"&gt;"&amp;0,'GRUPO H · Saudi Arabia'!E3:E22)</f>
        <v>16</v>
      </c>
      <c r="F34" s="7">
        <f>SUM('GRUPO H · Saudi Arabia'!F3:F22)</f>
        <v>16</v>
      </c>
      <c r="G34" s="8">
        <f>SUM('GRUPO H · Saudi Arabia'!G3:G22)</f>
        <v>0</v>
      </c>
    </row>
    <row r="35" spans="1:7" ht="16.05" customHeight="1" x14ac:dyDescent="0.3">
      <c r="A35" s="2" t="s">
        <v>40</v>
      </c>
      <c r="B35" s="3">
        <v>20</v>
      </c>
      <c r="C35" s="4">
        <f>COUNTIF('GRUPO H · Uruguay'!C3:C22,"")</f>
        <v>0</v>
      </c>
      <c r="D35" s="5">
        <f>COUNTIF('GRUPO H · Uruguay'!D3:D22,"X")</f>
        <v>0</v>
      </c>
      <c r="E35" s="6">
        <f>SUMIF('GRUPO H · Uruguay'!E3:E22,"&gt;"&amp;0,'GRUPO H · Uruguay'!E3:E22)</f>
        <v>15</v>
      </c>
      <c r="F35" s="7">
        <f>SUM('GRUPO H · Uruguay'!F3:F22)</f>
        <v>15</v>
      </c>
      <c r="G35" s="8">
        <f>SUM('GRUPO H · Uruguay'!G3:G22)</f>
        <v>0</v>
      </c>
    </row>
    <row r="36" spans="1:7" ht="16.05" customHeight="1" x14ac:dyDescent="0.3">
      <c r="A36" s="9" t="s">
        <v>41</v>
      </c>
      <c r="B36" s="10">
        <v>20</v>
      </c>
      <c r="C36" s="4">
        <f>COUNTIF('GRUPO I · France'!C3:C22,"")</f>
        <v>0</v>
      </c>
      <c r="D36" s="5">
        <f>COUNTIF('GRUPO I · France'!D3:D22,"X")</f>
        <v>0</v>
      </c>
      <c r="E36" s="6">
        <f>SUMIF('GRUPO I · France'!E3:E22,"&gt;"&amp;0,'GRUPO I · France'!E3:E22)</f>
        <v>7</v>
      </c>
      <c r="F36" s="7">
        <f>SUM('GRUPO I · France'!F3:F22)</f>
        <v>7</v>
      </c>
      <c r="G36" s="8">
        <f>SUM('GRUPO I · France'!G3:G22)</f>
        <v>0</v>
      </c>
    </row>
    <row r="37" spans="1:7" ht="16.05" customHeight="1" x14ac:dyDescent="0.3">
      <c r="A37" s="2" t="s">
        <v>42</v>
      </c>
      <c r="B37" s="3">
        <v>20</v>
      </c>
      <c r="C37" s="4">
        <f>COUNTIF('GRUPO I · Senegal'!C3:C22,"")</f>
        <v>0</v>
      </c>
      <c r="D37" s="5">
        <f>COUNTIF('GRUPO I · Senegal'!D3:D22,"X")</f>
        <v>0</v>
      </c>
      <c r="E37" s="6">
        <f>SUMIF('GRUPO I · Senegal'!E3:E22,"&gt;"&amp;0,'GRUPO I · Senegal'!E3:E22)</f>
        <v>11</v>
      </c>
      <c r="F37" s="7">
        <f>SUM('GRUPO I · Senegal'!F3:F22)</f>
        <v>11</v>
      </c>
      <c r="G37" s="8">
        <f>SUM('GRUPO I · Senegal'!G3:G22)</f>
        <v>0</v>
      </c>
    </row>
    <row r="38" spans="1:7" ht="16.05" customHeight="1" x14ac:dyDescent="0.3">
      <c r="A38" s="9" t="s">
        <v>43</v>
      </c>
      <c r="B38" s="10">
        <v>20</v>
      </c>
      <c r="C38" s="4">
        <f>COUNTIF('GRUPO I · Iraq'!C3:C22,"")</f>
        <v>0</v>
      </c>
      <c r="D38" s="5">
        <f>COUNTIF('GRUPO I · Iraq'!D3:D22,"X")</f>
        <v>0</v>
      </c>
      <c r="E38" s="6">
        <f>SUMIF('GRUPO I · Iraq'!E3:E22,"&gt;"&amp;0,'GRUPO I · Iraq'!E3:E22)</f>
        <v>19</v>
      </c>
      <c r="F38" s="7">
        <f>SUM('GRUPO I · Iraq'!F3:F22)</f>
        <v>19</v>
      </c>
      <c r="G38" s="8">
        <f>SUM('GRUPO I · Iraq'!G3:G22)</f>
        <v>0</v>
      </c>
    </row>
    <row r="39" spans="1:7" ht="16.05" customHeight="1" x14ac:dyDescent="0.3">
      <c r="A39" s="2" t="s">
        <v>44</v>
      </c>
      <c r="B39" s="3">
        <v>20</v>
      </c>
      <c r="C39" s="4">
        <f>COUNTIF('GRUPO I · Norway'!C3:C22,"")</f>
        <v>0</v>
      </c>
      <c r="D39" s="5">
        <f>COUNTIF('GRUPO I · Norway'!D3:D22,"X")</f>
        <v>0</v>
      </c>
      <c r="E39" s="6">
        <f>SUMIF('GRUPO I · Norway'!E3:E22,"&gt;"&amp;0,'GRUPO I · Norway'!E3:E22)</f>
        <v>12</v>
      </c>
      <c r="F39" s="7">
        <f>SUM('GRUPO I · Norway'!F3:F22)</f>
        <v>12</v>
      </c>
      <c r="G39" s="8">
        <f>SUM('GRUPO I · Norway'!G3:G22)</f>
        <v>0</v>
      </c>
    </row>
    <row r="40" spans="1:7" ht="16.05" customHeight="1" x14ac:dyDescent="0.3">
      <c r="A40" s="9" t="s">
        <v>45</v>
      </c>
      <c r="B40" s="10">
        <v>20</v>
      </c>
      <c r="C40" s="4">
        <f>COUNTIF('GRUPO J · Argentina'!C3:C22,"")</f>
        <v>0</v>
      </c>
      <c r="D40" s="5">
        <f>COUNTIF('GRUPO J · Argentina'!D3:D22,"X")</f>
        <v>0</v>
      </c>
      <c r="E40" s="6">
        <f>SUMIF('GRUPO J · Argentina'!E3:E22,"&gt;"&amp;0,'GRUPO J · Argentina'!E3:E22)</f>
        <v>19</v>
      </c>
      <c r="F40" s="7">
        <f>SUM('GRUPO J · Argentina'!F3:F22)</f>
        <v>19</v>
      </c>
      <c r="G40" s="8">
        <f>SUM('GRUPO J · Argentina'!G3:G22)</f>
        <v>0</v>
      </c>
    </row>
    <row r="41" spans="1:7" ht="16.05" customHeight="1" x14ac:dyDescent="0.3">
      <c r="A41" s="2" t="s">
        <v>46</v>
      </c>
      <c r="B41" s="3">
        <v>20</v>
      </c>
      <c r="C41" s="4">
        <f>COUNTIF('GRUPO J · Algeria'!C3:C22,"")</f>
        <v>0</v>
      </c>
      <c r="D41" s="5">
        <f>COUNTIF('GRUPO J · Algeria'!D3:D22,"X")</f>
        <v>0</v>
      </c>
      <c r="E41" s="6">
        <f>SUMIF('GRUPO J · Algeria'!E3:E22,"&gt;"&amp;0,'GRUPO J · Algeria'!E3:E22)</f>
        <v>15</v>
      </c>
      <c r="F41" s="7">
        <f>SUM('GRUPO J · Algeria'!F3:F22)</f>
        <v>15</v>
      </c>
      <c r="G41" s="8">
        <f>SUM('GRUPO J · Algeria'!G3:G22)</f>
        <v>0</v>
      </c>
    </row>
    <row r="42" spans="1:7" ht="16.05" customHeight="1" x14ac:dyDescent="0.3">
      <c r="A42" s="9" t="s">
        <v>47</v>
      </c>
      <c r="B42" s="10">
        <v>20</v>
      </c>
      <c r="C42" s="4">
        <f>COUNTIF('GRUPO J · Austria'!C3:C22,"")</f>
        <v>0</v>
      </c>
      <c r="D42" s="5">
        <f>COUNTIF('GRUPO J · Austria'!D3:D22,"X")</f>
        <v>0</v>
      </c>
      <c r="E42" s="6">
        <f>SUMIF('GRUPO J · Austria'!E3:E22,"&gt;"&amp;0,'GRUPO J · Austria'!E3:E22)</f>
        <v>18</v>
      </c>
      <c r="F42" s="7">
        <f>SUM('GRUPO J · Austria'!F3:F22)</f>
        <v>18</v>
      </c>
      <c r="G42" s="8">
        <f>SUM('GRUPO J · Austria'!G3:G22)</f>
        <v>0</v>
      </c>
    </row>
    <row r="43" spans="1:7" ht="16.05" customHeight="1" x14ac:dyDescent="0.3">
      <c r="A43" s="2" t="s">
        <v>48</v>
      </c>
      <c r="B43" s="3">
        <v>20</v>
      </c>
      <c r="C43" s="4">
        <f>COUNTIF('GRUPO J · Jordan'!C3:C22,"")</f>
        <v>0</v>
      </c>
      <c r="D43" s="5">
        <f>COUNTIF('GRUPO J · Jordan'!D3:D22,"X")</f>
        <v>0</v>
      </c>
      <c r="E43" s="6">
        <f>SUMIF('GRUPO J · Jordan'!E3:E22,"&gt;"&amp;0,'GRUPO J · Jordan'!E3:E22)</f>
        <v>14</v>
      </c>
      <c r="F43" s="7">
        <f>SUM('GRUPO J · Jordan'!F3:F22)</f>
        <v>14</v>
      </c>
      <c r="G43" s="8">
        <f>SUM('GRUPO J · Jordan'!G3:G22)</f>
        <v>0</v>
      </c>
    </row>
    <row r="44" spans="1:7" ht="16.05" customHeight="1" x14ac:dyDescent="0.3">
      <c r="A44" s="9" t="s">
        <v>49</v>
      </c>
      <c r="B44" s="10">
        <v>20</v>
      </c>
      <c r="C44" s="4">
        <f>COUNTIF('GRUPO K · Portugal'!C3:C22,"")</f>
        <v>0</v>
      </c>
      <c r="D44" s="5">
        <f>COUNTIF('GRUPO K · Portugal'!D3:D22,"X")</f>
        <v>0</v>
      </c>
      <c r="E44" s="6">
        <f>SUMIF('GRUPO K · Portugal'!E3:E22,"&gt;"&amp;0,'GRUPO K · Portugal'!E3:E22)</f>
        <v>19</v>
      </c>
      <c r="F44" s="7">
        <f>SUM('GRUPO K · Portugal'!F3:F22)</f>
        <v>19</v>
      </c>
      <c r="G44" s="8">
        <f>SUM('GRUPO K · Portugal'!G3:G22)</f>
        <v>0</v>
      </c>
    </row>
    <row r="45" spans="1:7" ht="16.05" customHeight="1" x14ac:dyDescent="0.3">
      <c r="A45" s="2" t="s">
        <v>50</v>
      </c>
      <c r="B45" s="3">
        <v>20</v>
      </c>
      <c r="C45" s="4">
        <f>COUNTIF('GRUPO K · Congo DR'!C3:C22,"")</f>
        <v>0</v>
      </c>
      <c r="D45" s="5">
        <f>COUNTIF('GRUPO K · Congo DR'!D3:D22,"X")</f>
        <v>0</v>
      </c>
      <c r="E45" s="6">
        <f>SUMIF('GRUPO K · Congo DR'!E3:E22,"&gt;"&amp;0,'GRUPO K · Congo DR'!E3:E22)</f>
        <v>22</v>
      </c>
      <c r="F45" s="7">
        <f>SUM('GRUPO K · Congo DR'!F3:F22)</f>
        <v>22</v>
      </c>
      <c r="G45" s="8">
        <f>SUM('GRUPO K · Congo DR'!G3:G22)</f>
        <v>0</v>
      </c>
    </row>
    <row r="46" spans="1:7" ht="16.05" customHeight="1" x14ac:dyDescent="0.3">
      <c r="A46" s="9" t="s">
        <v>51</v>
      </c>
      <c r="B46" s="10">
        <v>20</v>
      </c>
      <c r="C46" s="4">
        <f>COUNTIF('GRUPO K · Uzbekistan'!C3:C22,"")</f>
        <v>0</v>
      </c>
      <c r="D46" s="5">
        <f>COUNTIF('GRUPO K · Uzbekistan'!D3:D22,"X")</f>
        <v>0</v>
      </c>
      <c r="E46" s="6">
        <f>SUMIF('GRUPO K · Uzbekistan'!E3:E22,"&gt;"&amp;0,'GRUPO K · Uzbekistan'!E3:E22)</f>
        <v>18</v>
      </c>
      <c r="F46" s="7">
        <f>SUM('GRUPO K · Uzbekistan'!F3:F22)</f>
        <v>18</v>
      </c>
      <c r="G46" s="8">
        <f>SUM('GRUPO K · Uzbekistan'!G3:G22)</f>
        <v>0</v>
      </c>
    </row>
    <row r="47" spans="1:7" ht="16.05" customHeight="1" x14ac:dyDescent="0.3">
      <c r="A47" s="2" t="s">
        <v>52</v>
      </c>
      <c r="B47" s="3">
        <v>20</v>
      </c>
      <c r="C47" s="4">
        <f>COUNTIF('GRUPO K · Colombia'!C3:C22,"")</f>
        <v>0</v>
      </c>
      <c r="D47" s="5">
        <f>COUNTIF('GRUPO K · Colombia'!D3:D22,"X")</f>
        <v>0</v>
      </c>
      <c r="E47" s="6">
        <f>SUMIF('GRUPO K · Colombia'!E3:E22,"&gt;"&amp;0,'GRUPO K · Colombia'!E3:E22)</f>
        <v>17</v>
      </c>
      <c r="F47" s="7">
        <f>SUM('GRUPO K · Colombia'!F3:F22)</f>
        <v>17</v>
      </c>
      <c r="G47" s="8">
        <f>SUM('GRUPO K · Colombia'!G3:G22)</f>
        <v>0</v>
      </c>
    </row>
    <row r="48" spans="1:7" ht="16.05" customHeight="1" x14ac:dyDescent="0.3">
      <c r="A48" s="9" t="s">
        <v>53</v>
      </c>
      <c r="B48" s="10">
        <v>20</v>
      </c>
      <c r="C48" s="4">
        <f>COUNTIF('GRUPO L · England'!C3:C22,"")</f>
        <v>0</v>
      </c>
      <c r="D48" s="5">
        <f>COUNTIF('GRUPO L · England'!D3:D22,"X")</f>
        <v>0</v>
      </c>
      <c r="E48" s="6">
        <f>SUMIF('GRUPO L · England'!E3:E22,"&gt;"&amp;0,'GRUPO L · England'!E3:E22)</f>
        <v>13</v>
      </c>
      <c r="F48" s="7">
        <f>SUM('GRUPO L · England'!F3:F22)</f>
        <v>13</v>
      </c>
      <c r="G48" s="8">
        <f>SUM('GRUPO L · England'!G3:G22)</f>
        <v>0</v>
      </c>
    </row>
    <row r="49" spans="1:7" ht="16.05" customHeight="1" x14ac:dyDescent="0.3">
      <c r="A49" s="2" t="s">
        <v>54</v>
      </c>
      <c r="B49" s="3">
        <v>20</v>
      </c>
      <c r="C49" s="4">
        <f>COUNTIF('GRUPO L · Croatia'!C3:C22,"")</f>
        <v>0</v>
      </c>
      <c r="D49" s="5">
        <f>COUNTIF('GRUPO L · Croatia'!D3:D22,"X")</f>
        <v>0</v>
      </c>
      <c r="E49" s="6">
        <f>SUMIF('GRUPO L · Croatia'!E3:E22,"&gt;"&amp;0,'GRUPO L · Croatia'!E3:E22)</f>
        <v>14</v>
      </c>
      <c r="F49" s="7">
        <f>SUM('GRUPO L · Croatia'!F3:F22)</f>
        <v>14</v>
      </c>
      <c r="G49" s="8">
        <f>SUM('GRUPO L · Croatia'!G3:G22)</f>
        <v>0</v>
      </c>
    </row>
    <row r="50" spans="1:7" ht="16.05" customHeight="1" x14ac:dyDescent="0.3">
      <c r="A50" s="9" t="s">
        <v>55</v>
      </c>
      <c r="B50" s="10">
        <v>20</v>
      </c>
      <c r="C50" s="4">
        <f>COUNTIF('GRUPO L · Ghana'!C3:C22,"")</f>
        <v>0</v>
      </c>
      <c r="D50" s="5">
        <f>COUNTIF('GRUPO L · Ghana'!D3:D22,"X")</f>
        <v>0</v>
      </c>
      <c r="E50" s="6">
        <f>SUMIF('GRUPO L · Ghana'!E3:E22,"&gt;"&amp;0,'GRUPO L · Ghana'!E3:E22)</f>
        <v>12</v>
      </c>
      <c r="F50" s="7">
        <f>SUM('GRUPO L · Ghana'!F3:F22)</f>
        <v>12</v>
      </c>
      <c r="G50" s="8">
        <f>SUM('GRUPO L · Ghana'!G3:G22)</f>
        <v>0</v>
      </c>
    </row>
    <row r="51" spans="1:7" ht="16.05" customHeight="1" x14ac:dyDescent="0.3">
      <c r="A51" s="2" t="s">
        <v>56</v>
      </c>
      <c r="B51" s="3">
        <v>20</v>
      </c>
      <c r="C51" s="4">
        <f>COUNTIF('GRUPO L · Panamá'!C3:C22,"")</f>
        <v>0</v>
      </c>
      <c r="D51" s="5">
        <f>COUNTIF('GRUPO L · Panamá'!D3:D22,"X")</f>
        <v>0</v>
      </c>
      <c r="E51" s="6">
        <f>SUMIF('GRUPO L · Panamá'!E3:E22,"&gt;"&amp;0,'GRUPO L · Panamá'!E3:E22)</f>
        <v>12</v>
      </c>
      <c r="F51" s="7">
        <f>SUM('GRUPO L · Panamá'!F3:F22)</f>
        <v>12</v>
      </c>
      <c r="G51" s="8">
        <f>SUM('GRUPO L · Panamá'!G3:G22)</f>
        <v>0</v>
      </c>
    </row>
    <row r="52" spans="1:7" ht="16.05" customHeight="1" x14ac:dyDescent="0.3">
      <c r="A52" s="9" t="s">
        <v>57</v>
      </c>
      <c r="B52" s="10">
        <v>11</v>
      </c>
      <c r="C52" s="4">
        <f>COUNTIF('FIFA WORLD CUP HISTORY'!C3:C13,"")</f>
        <v>0</v>
      </c>
      <c r="D52" s="5">
        <f>COUNTIF('FIFA WORLD CUP HISTORY'!D3:D13,"X")</f>
        <v>0</v>
      </c>
      <c r="E52" s="6">
        <f>SUMIF('FIFA WORLD CUP HISTORY'!E3:E13,"&gt;"&amp;0,'FIFA WORLD CUP HISTORY'!E3:E13)</f>
        <v>10</v>
      </c>
      <c r="F52" s="7">
        <f>SUM('FIFA WORLD CUP HISTORY'!F3:F13)</f>
        <v>10</v>
      </c>
      <c r="G52" s="8">
        <f>SUM('FIFA WORLD CUP HISTORY'!G3:G13)</f>
        <v>0</v>
      </c>
    </row>
    <row r="53" spans="1:7" ht="16.05" customHeight="1" x14ac:dyDescent="0.3">
      <c r="A53" s="2" t="s">
        <v>58</v>
      </c>
      <c r="B53" s="3">
        <v>20</v>
      </c>
      <c r="C53" s="4">
        <f>COUNTIF('EXTRA STICKERS'!C3:C22,"")</f>
        <v>20</v>
      </c>
      <c r="D53" s="5">
        <f>COUNTIF('EXTRA STICKERS'!D3:D22,"X")</f>
        <v>0</v>
      </c>
      <c r="E53" s="6">
        <f>SUMIF('EXTRA STICKERS'!E3:E22,"&gt;"&amp;0,'EXTRA STICKERS'!E3:E22)</f>
        <v>0</v>
      </c>
      <c r="F53" s="7">
        <f>SUM('EXTRA STICKERS'!F3:F22)</f>
        <v>0</v>
      </c>
      <c r="G53" s="8">
        <f>SUM('EXTRA STICKERS'!G3:G22)</f>
        <v>0</v>
      </c>
    </row>
    <row r="54" spans="1:7" ht="16.05" customHeight="1" x14ac:dyDescent="0.3">
      <c r="A54" s="9" t="s">
        <v>59</v>
      </c>
      <c r="B54" s="10">
        <v>12</v>
      </c>
      <c r="C54" s="4">
        <f>COUNTIF('COCA COLA (Ed. España)'!C3:C14,"")</f>
        <v>0</v>
      </c>
      <c r="D54" s="5">
        <f>COUNTIF('COCA COLA (Ed. España)'!D3:D14,"X")</f>
        <v>0</v>
      </c>
      <c r="E54" s="6">
        <f>SUMIF('COCA COLA (Ed. España)'!E3:E14,"&gt;"&amp;0,'COCA COLA (Ed. España)'!E3:E14)</f>
        <v>7</v>
      </c>
      <c r="F54" s="7">
        <f>SUM('COCA COLA (Ed. España)'!F3:F14)</f>
        <v>7</v>
      </c>
      <c r="G54" s="8">
        <f>SUM('COCA COLA (Ed. España)'!G3:G14)</f>
        <v>0</v>
      </c>
    </row>
    <row r="55" spans="1:7" ht="22.05" customHeight="1" x14ac:dyDescent="0.3">
      <c r="A55" s="11" t="s">
        <v>60</v>
      </c>
      <c r="B55" s="12">
        <f t="shared" ref="B55:G55" si="0">SUM(B3:B54)</f>
        <v>1012</v>
      </c>
      <c r="C55" s="13">
        <f t="shared" si="0"/>
        <v>20</v>
      </c>
      <c r="D55" s="14">
        <f t="shared" si="0"/>
        <v>0</v>
      </c>
      <c r="E55" s="15">
        <f t="shared" si="0"/>
        <v>772</v>
      </c>
      <c r="F55" s="16">
        <f t="shared" si="0"/>
        <v>772</v>
      </c>
      <c r="G55" s="17">
        <f t="shared" si="0"/>
        <v>0</v>
      </c>
    </row>
    <row r="57" spans="1:7" x14ac:dyDescent="0.3">
      <c r="A57" s="34" t="s">
        <v>61</v>
      </c>
      <c r="B57" s="33"/>
      <c r="C57" s="33"/>
      <c r="D57" s="33"/>
      <c r="E57" s="33"/>
      <c r="F57" s="33"/>
      <c r="G57" s="33"/>
    </row>
  </sheetData>
  <mergeCells count="2">
    <mergeCell ref="A57:G5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pane ySplit="2" topLeftCell="A3" activePane="bottomLeft" state="frozen"/>
      <selection pane="bottomLeft" activeCell="F9" sqref="F9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36" t="s">
        <v>8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65</v>
      </c>
      <c r="B3" s="19" t="s">
        <v>66</v>
      </c>
      <c r="C3" s="20" t="s">
        <v>85</v>
      </c>
      <c r="D3" s="21"/>
      <c r="E3" s="22"/>
      <c r="F3" s="23"/>
      <c r="G3" s="24">
        <f t="shared" ref="G3:G11" si="0">MAX(0,IF(E3="",0,E3)-IF(F3="",0,F3))</f>
        <v>0</v>
      </c>
    </row>
    <row r="4" spans="1:7" ht="16.05" customHeight="1" x14ac:dyDescent="0.3">
      <c r="A4" s="25" t="s">
        <v>67</v>
      </c>
      <c r="B4" s="26" t="s">
        <v>68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69</v>
      </c>
      <c r="B5" s="19" t="s">
        <v>70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71</v>
      </c>
      <c r="B6" s="26" t="s">
        <v>72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73</v>
      </c>
      <c r="B7" s="19" t="s">
        <v>74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75</v>
      </c>
      <c r="B8" s="26" t="s">
        <v>76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77</v>
      </c>
      <c r="B9" s="19" t="s">
        <v>78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79</v>
      </c>
      <c r="B10" s="26" t="s">
        <v>80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81</v>
      </c>
      <c r="B11" s="19" t="s">
        <v>82</v>
      </c>
      <c r="C11" s="20" t="s">
        <v>85</v>
      </c>
      <c r="D11" s="21"/>
      <c r="E11" s="22">
        <v>3</v>
      </c>
      <c r="F11" s="23">
        <v>3</v>
      </c>
      <c r="G11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pane ySplit="2" topLeftCell="A3" activePane="bottomLeft" state="frozen"/>
      <selection pane="bottomLeft" activeCell="J18" sqref="J18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37" t="s">
        <v>9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83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86</v>
      </c>
      <c r="B4" s="26" t="s">
        <v>87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88</v>
      </c>
      <c r="B5" s="19" t="s">
        <v>89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90</v>
      </c>
      <c r="B6" s="26" t="s">
        <v>91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92</v>
      </c>
      <c r="B7" s="19" t="s">
        <v>93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94</v>
      </c>
      <c r="B8" s="26" t="s">
        <v>95</v>
      </c>
      <c r="C8" s="20" t="s">
        <v>85</v>
      </c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96</v>
      </c>
      <c r="B9" s="19" t="s">
        <v>97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98</v>
      </c>
      <c r="B10" s="26" t="s">
        <v>99</v>
      </c>
      <c r="C10" s="20" t="s">
        <v>85</v>
      </c>
      <c r="D10" s="21"/>
      <c r="E10" s="22">
        <v>3</v>
      </c>
      <c r="F10" s="23">
        <v>3</v>
      </c>
      <c r="G10" s="24">
        <f t="shared" si="0"/>
        <v>0</v>
      </c>
    </row>
    <row r="11" spans="1:7" ht="16.05" customHeight="1" x14ac:dyDescent="0.3">
      <c r="A11" s="18" t="s">
        <v>100</v>
      </c>
      <c r="B11" s="19" t="s">
        <v>101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102</v>
      </c>
      <c r="B12" s="26" t="s">
        <v>103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104</v>
      </c>
      <c r="B13" s="19" t="s">
        <v>105</v>
      </c>
      <c r="C13" s="20" t="s">
        <v>85</v>
      </c>
      <c r="D13" s="21"/>
      <c r="E13" s="22">
        <v>3</v>
      </c>
      <c r="F13" s="23">
        <v>3</v>
      </c>
      <c r="G13" s="24">
        <f t="shared" si="0"/>
        <v>0</v>
      </c>
    </row>
    <row r="14" spans="1:7" ht="16.05" customHeight="1" x14ac:dyDescent="0.3">
      <c r="A14" s="25" t="s">
        <v>106</v>
      </c>
      <c r="B14" s="26" t="s">
        <v>107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108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110</v>
      </c>
      <c r="B16" s="26" t="s">
        <v>111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112</v>
      </c>
      <c r="B17" s="19" t="s">
        <v>113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114</v>
      </c>
      <c r="B18" s="26" t="s">
        <v>115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116</v>
      </c>
      <c r="B19" s="19" t="s">
        <v>117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118</v>
      </c>
      <c r="B20" s="26" t="s">
        <v>119</v>
      </c>
      <c r="C20" s="20" t="s">
        <v>85</v>
      </c>
      <c r="D20" s="21"/>
      <c r="E20" s="22">
        <v>2</v>
      </c>
      <c r="F20" s="23">
        <v>2</v>
      </c>
      <c r="G20" s="24">
        <f t="shared" si="0"/>
        <v>0</v>
      </c>
    </row>
    <row r="21" spans="1:7" ht="16.05" customHeight="1" x14ac:dyDescent="0.3">
      <c r="A21" s="18" t="s">
        <v>120</v>
      </c>
      <c r="B21" s="19" t="s">
        <v>121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122</v>
      </c>
      <c r="B22" s="26" t="s">
        <v>123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pane ySplit="2" topLeftCell="A3" activePane="bottomLeft" state="frozen"/>
      <selection pane="bottomLeft" activeCell="F21" sqref="F21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38" t="s">
        <v>10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124</v>
      </c>
      <c r="B3" s="19" t="s">
        <v>84</v>
      </c>
      <c r="C3" s="20" t="s">
        <v>85</v>
      </c>
      <c r="D3" s="21"/>
      <c r="E3" s="22">
        <v>2</v>
      </c>
      <c r="F3" s="23">
        <v>2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125</v>
      </c>
      <c r="B4" s="26" t="s">
        <v>126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127</v>
      </c>
      <c r="B5" s="19" t="s">
        <v>128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129</v>
      </c>
      <c r="B6" s="26" t="s">
        <v>130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131</v>
      </c>
      <c r="B7" s="19" t="s">
        <v>132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133</v>
      </c>
      <c r="B8" s="26" t="s">
        <v>1992</v>
      </c>
      <c r="C8" s="20" t="s">
        <v>85</v>
      </c>
      <c r="D8" s="21"/>
      <c r="E8" s="22">
        <v>3</v>
      </c>
      <c r="F8" s="23">
        <v>3</v>
      </c>
      <c r="G8" s="24">
        <f t="shared" si="0"/>
        <v>0</v>
      </c>
    </row>
    <row r="9" spans="1:7" ht="16.05" customHeight="1" x14ac:dyDescent="0.3">
      <c r="A9" s="18" t="s">
        <v>135</v>
      </c>
      <c r="B9" s="19" t="s">
        <v>136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137</v>
      </c>
      <c r="B10" s="26" t="s">
        <v>138</v>
      </c>
      <c r="C10" s="20" t="s">
        <v>85</v>
      </c>
      <c r="D10" s="21"/>
      <c r="E10" s="22">
        <v>2</v>
      </c>
      <c r="F10" s="23">
        <v>2</v>
      </c>
      <c r="G10" s="24">
        <f t="shared" si="0"/>
        <v>0</v>
      </c>
    </row>
    <row r="11" spans="1:7" ht="16.05" customHeight="1" x14ac:dyDescent="0.3">
      <c r="A11" s="18" t="s">
        <v>139</v>
      </c>
      <c r="B11" s="19" t="s">
        <v>134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140</v>
      </c>
      <c r="B12" s="26" t="s">
        <v>141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142</v>
      </c>
      <c r="B13" s="19" t="s">
        <v>143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144</v>
      </c>
      <c r="B14" s="26" t="s">
        <v>145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146</v>
      </c>
      <c r="B15" s="19" t="s">
        <v>109</v>
      </c>
      <c r="C15" s="20" t="s">
        <v>85</v>
      </c>
      <c r="D15" s="21"/>
      <c r="E15" s="22">
        <v>2</v>
      </c>
      <c r="F15" s="23">
        <v>2</v>
      </c>
      <c r="G15" s="24">
        <f t="shared" si="0"/>
        <v>0</v>
      </c>
    </row>
    <row r="16" spans="1:7" ht="16.05" customHeight="1" x14ac:dyDescent="0.3">
      <c r="A16" s="25" t="s">
        <v>147</v>
      </c>
      <c r="B16" s="26" t="s">
        <v>148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149</v>
      </c>
      <c r="B17" s="19" t="s">
        <v>150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151</v>
      </c>
      <c r="B18" s="26" t="s">
        <v>152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153</v>
      </c>
      <c r="B19" s="19" t="s">
        <v>154</v>
      </c>
      <c r="C19" s="20" t="s">
        <v>85</v>
      </c>
      <c r="D19" s="21"/>
      <c r="E19" s="22">
        <v>3</v>
      </c>
      <c r="F19" s="23">
        <v>3</v>
      </c>
      <c r="G19" s="24">
        <f t="shared" si="0"/>
        <v>0</v>
      </c>
    </row>
    <row r="20" spans="1:7" ht="16.05" customHeight="1" x14ac:dyDescent="0.3">
      <c r="A20" s="25" t="s">
        <v>155</v>
      </c>
      <c r="B20" s="26" t="s">
        <v>156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157</v>
      </c>
      <c r="B21" s="19" t="s">
        <v>158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159</v>
      </c>
      <c r="B22" s="26" t="s">
        <v>160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tabSelected="1" workbookViewId="0">
      <pane ySplit="2" topLeftCell="A3" activePane="bottomLeft" state="frozen"/>
      <selection pane="bottomLeft" activeCell="D22" sqref="D22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39" t="s">
        <v>11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161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162</v>
      </c>
      <c r="B4" s="26" t="s">
        <v>163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164</v>
      </c>
      <c r="B5" s="19" t="s">
        <v>165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166</v>
      </c>
      <c r="B6" s="26" t="s">
        <v>167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168</v>
      </c>
      <c r="B7" s="19" t="s">
        <v>169</v>
      </c>
      <c r="C7" s="20" t="s">
        <v>85</v>
      </c>
      <c r="D7" s="21"/>
      <c r="E7" s="22">
        <v>3</v>
      </c>
      <c r="F7" s="23">
        <v>3</v>
      </c>
      <c r="G7" s="24">
        <f t="shared" si="0"/>
        <v>0</v>
      </c>
    </row>
    <row r="8" spans="1:7" ht="16.05" customHeight="1" x14ac:dyDescent="0.3">
      <c r="A8" s="25" t="s">
        <v>170</v>
      </c>
      <c r="B8" s="26" t="s">
        <v>171</v>
      </c>
      <c r="C8" s="20" t="s">
        <v>85</v>
      </c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172</v>
      </c>
      <c r="B9" s="19" t="s">
        <v>173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174</v>
      </c>
      <c r="B10" s="26" t="s">
        <v>175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176</v>
      </c>
      <c r="B11" s="19" t="s">
        <v>177</v>
      </c>
      <c r="C11" s="20" t="s">
        <v>85</v>
      </c>
      <c r="D11" s="21"/>
      <c r="E11" s="22">
        <v>2</v>
      </c>
      <c r="F11" s="23">
        <v>2</v>
      </c>
      <c r="G11" s="24">
        <f t="shared" si="0"/>
        <v>0</v>
      </c>
    </row>
    <row r="12" spans="1:7" ht="16.05" customHeight="1" x14ac:dyDescent="0.3">
      <c r="A12" s="25" t="s">
        <v>178</v>
      </c>
      <c r="B12" s="26" t="s">
        <v>179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180</v>
      </c>
      <c r="B13" s="19" t="s">
        <v>181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182</v>
      </c>
      <c r="B14" s="26" t="s">
        <v>183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184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185</v>
      </c>
      <c r="B16" s="26" t="s">
        <v>186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187</v>
      </c>
      <c r="B17" s="19" t="s">
        <v>188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189</v>
      </c>
      <c r="B18" s="26" t="s">
        <v>190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191</v>
      </c>
      <c r="B19" s="19" t="s">
        <v>192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193</v>
      </c>
      <c r="B20" s="26" t="s">
        <v>194</v>
      </c>
      <c r="C20" s="20" t="s">
        <v>85</v>
      </c>
      <c r="D20" s="21"/>
      <c r="E20" s="22">
        <v>2</v>
      </c>
      <c r="F20" s="23">
        <v>2</v>
      </c>
      <c r="G20" s="24">
        <f t="shared" si="0"/>
        <v>0</v>
      </c>
    </row>
    <row r="21" spans="1:7" ht="16.05" customHeight="1" x14ac:dyDescent="0.3">
      <c r="A21" s="18" t="s">
        <v>195</v>
      </c>
      <c r="B21" s="19" t="s">
        <v>196</v>
      </c>
      <c r="C21" s="20" t="s">
        <v>85</v>
      </c>
      <c r="D21" s="21"/>
      <c r="E21" s="22">
        <v>3</v>
      </c>
      <c r="F21" s="23">
        <v>3</v>
      </c>
      <c r="G21" s="24">
        <f t="shared" si="0"/>
        <v>0</v>
      </c>
    </row>
    <row r="22" spans="1:7" ht="16.05" customHeight="1" x14ac:dyDescent="0.3">
      <c r="A22" s="25" t="s">
        <v>197</v>
      </c>
      <c r="B22" s="26" t="s">
        <v>198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pane ySplit="2" topLeftCell="A3" activePane="bottomLeft" state="frozen"/>
      <selection pane="bottomLeft" activeCell="F16" sqref="F1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0" t="s">
        <v>12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199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200</v>
      </c>
      <c r="B4" s="26" t="s">
        <v>201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202</v>
      </c>
      <c r="B5" s="19" t="s">
        <v>203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204</v>
      </c>
      <c r="B6" s="26" t="s">
        <v>205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206</v>
      </c>
      <c r="B7" s="19" t="s">
        <v>207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208</v>
      </c>
      <c r="B8" s="26" t="s">
        <v>209</v>
      </c>
      <c r="C8" s="20" t="s">
        <v>85</v>
      </c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210</v>
      </c>
      <c r="B9" s="19" t="s">
        <v>211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212</v>
      </c>
      <c r="B10" s="26" t="s">
        <v>213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214</v>
      </c>
      <c r="B11" s="19" t="s">
        <v>215</v>
      </c>
      <c r="C11" s="20" t="s">
        <v>85</v>
      </c>
      <c r="D11" s="21"/>
      <c r="E11" s="22">
        <v>3</v>
      </c>
      <c r="F11" s="23">
        <v>3</v>
      </c>
      <c r="G11" s="24">
        <f t="shared" si="0"/>
        <v>0</v>
      </c>
    </row>
    <row r="12" spans="1:7" ht="16.05" customHeight="1" x14ac:dyDescent="0.3">
      <c r="A12" s="25" t="s">
        <v>216</v>
      </c>
      <c r="B12" s="26" t="s">
        <v>217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218</v>
      </c>
      <c r="B13" s="19" t="s">
        <v>219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220</v>
      </c>
      <c r="B14" s="26" t="s">
        <v>221</v>
      </c>
      <c r="C14" s="20" t="s">
        <v>85</v>
      </c>
      <c r="D14" s="21"/>
      <c r="E14" s="22">
        <v>4</v>
      </c>
      <c r="F14" s="23">
        <v>4</v>
      </c>
      <c r="G14" s="24">
        <f t="shared" si="0"/>
        <v>0</v>
      </c>
    </row>
    <row r="15" spans="1:7" ht="16.05" customHeight="1" x14ac:dyDescent="0.3">
      <c r="A15" s="18" t="s">
        <v>222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223</v>
      </c>
      <c r="B16" s="26" t="s">
        <v>224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225</v>
      </c>
      <c r="B17" s="19" t="s">
        <v>226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227</v>
      </c>
      <c r="B18" s="26" t="s">
        <v>228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229</v>
      </c>
      <c r="B19" s="19" t="s">
        <v>230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231</v>
      </c>
      <c r="B20" s="26" t="s">
        <v>232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233</v>
      </c>
      <c r="B21" s="19" t="s">
        <v>234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235</v>
      </c>
      <c r="B22" s="26" t="s">
        <v>236</v>
      </c>
      <c r="C22" s="20" t="s">
        <v>85</v>
      </c>
      <c r="D22" s="21"/>
      <c r="E22" s="22">
        <v>2</v>
      </c>
      <c r="F22" s="23">
        <v>2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1" t="s">
        <v>13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237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238</v>
      </c>
      <c r="B4" s="26" t="s">
        <v>239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240</v>
      </c>
      <c r="B5" s="19" t="s">
        <v>241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242</v>
      </c>
      <c r="B6" s="26" t="s">
        <v>243</v>
      </c>
      <c r="C6" s="20" t="s">
        <v>85</v>
      </c>
      <c r="D6" s="21"/>
      <c r="E6" s="22">
        <v>3</v>
      </c>
      <c r="F6" s="23">
        <v>3</v>
      </c>
      <c r="G6" s="24">
        <f t="shared" si="0"/>
        <v>0</v>
      </c>
    </row>
    <row r="7" spans="1:7" ht="16.05" customHeight="1" x14ac:dyDescent="0.3">
      <c r="A7" s="18" t="s">
        <v>244</v>
      </c>
      <c r="B7" s="19" t="s">
        <v>245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246</v>
      </c>
      <c r="B8" s="26" t="s">
        <v>247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248</v>
      </c>
      <c r="B9" s="19" t="s">
        <v>249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250</v>
      </c>
      <c r="B10" s="26" t="s">
        <v>251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252</v>
      </c>
      <c r="B11" s="19" t="s">
        <v>253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254</v>
      </c>
      <c r="B12" s="26" t="s">
        <v>255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256</v>
      </c>
      <c r="B13" s="19" t="s">
        <v>257</v>
      </c>
      <c r="C13" s="20" t="s">
        <v>85</v>
      </c>
      <c r="D13" s="21"/>
      <c r="E13" s="22">
        <v>3</v>
      </c>
      <c r="F13" s="23">
        <v>3</v>
      </c>
      <c r="G13" s="24">
        <f t="shared" si="0"/>
        <v>0</v>
      </c>
    </row>
    <row r="14" spans="1:7" ht="16.05" customHeight="1" x14ac:dyDescent="0.3">
      <c r="A14" s="25" t="s">
        <v>258</v>
      </c>
      <c r="B14" s="26" t="s">
        <v>259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260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261</v>
      </c>
      <c r="B16" s="26" t="s">
        <v>262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263</v>
      </c>
      <c r="B17" s="19" t="s">
        <v>264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265</v>
      </c>
      <c r="B18" s="26" t="s">
        <v>266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267</v>
      </c>
      <c r="B19" s="19" t="s">
        <v>268</v>
      </c>
      <c r="C19" s="20" t="s">
        <v>85</v>
      </c>
      <c r="D19" s="21"/>
      <c r="E19" s="22">
        <v>2</v>
      </c>
      <c r="F19" s="23">
        <v>2</v>
      </c>
      <c r="G19" s="24">
        <f t="shared" si="0"/>
        <v>0</v>
      </c>
    </row>
    <row r="20" spans="1:7" ht="16.05" customHeight="1" x14ac:dyDescent="0.3">
      <c r="A20" s="25" t="s">
        <v>269</v>
      </c>
      <c r="B20" s="26" t="s">
        <v>270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271</v>
      </c>
      <c r="B21" s="19" t="s">
        <v>272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273</v>
      </c>
      <c r="B22" s="26" t="s">
        <v>274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workbookViewId="0">
      <pane ySplit="2" topLeftCell="A3" activePane="bottomLeft" state="frozen"/>
      <selection pane="bottomLeft" activeCell="F18" sqref="F18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2" t="s">
        <v>14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275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276</v>
      </c>
      <c r="B4" s="26" t="s">
        <v>277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278</v>
      </c>
      <c r="B5" s="19" t="s">
        <v>279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280</v>
      </c>
      <c r="B6" s="26" t="s">
        <v>281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282</v>
      </c>
      <c r="B7" s="19" t="s">
        <v>283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284</v>
      </c>
      <c r="B8" s="26" t="s">
        <v>285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286</v>
      </c>
      <c r="B9" s="19" t="s">
        <v>287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288</v>
      </c>
      <c r="B10" s="26" t="s">
        <v>289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290</v>
      </c>
      <c r="B11" s="19" t="s">
        <v>291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292</v>
      </c>
      <c r="B12" s="26" t="s">
        <v>293</v>
      </c>
      <c r="C12" s="20" t="s">
        <v>85</v>
      </c>
      <c r="D12" s="21"/>
      <c r="E12" s="22">
        <v>3</v>
      </c>
      <c r="F12" s="23">
        <v>3</v>
      </c>
      <c r="G12" s="24">
        <f t="shared" si="0"/>
        <v>0</v>
      </c>
    </row>
    <row r="13" spans="1:7" ht="16.05" customHeight="1" x14ac:dyDescent="0.3">
      <c r="A13" s="18" t="s">
        <v>294</v>
      </c>
      <c r="B13" s="19" t="s">
        <v>295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296</v>
      </c>
      <c r="B14" s="26" t="s">
        <v>297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298</v>
      </c>
      <c r="B15" s="19" t="s">
        <v>109</v>
      </c>
      <c r="C15" s="20" t="s">
        <v>85</v>
      </c>
      <c r="D15" s="21"/>
      <c r="E15" s="22">
        <v>4</v>
      </c>
      <c r="F15" s="23">
        <v>4</v>
      </c>
      <c r="G15" s="24">
        <f t="shared" si="0"/>
        <v>0</v>
      </c>
    </row>
    <row r="16" spans="1:7" ht="16.05" customHeight="1" x14ac:dyDescent="0.3">
      <c r="A16" s="25" t="s">
        <v>299</v>
      </c>
      <c r="B16" s="26" t="s">
        <v>300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301</v>
      </c>
      <c r="B17" s="19" t="s">
        <v>302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303</v>
      </c>
      <c r="B18" s="26" t="s">
        <v>304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305</v>
      </c>
      <c r="B19" s="19" t="s">
        <v>306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307</v>
      </c>
      <c r="B20" s="26" t="s">
        <v>308</v>
      </c>
      <c r="C20" s="20" t="s">
        <v>85</v>
      </c>
      <c r="D20" s="21"/>
      <c r="E20" s="22">
        <v>3</v>
      </c>
      <c r="F20" s="23">
        <v>3</v>
      </c>
      <c r="G20" s="24">
        <f t="shared" si="0"/>
        <v>0</v>
      </c>
    </row>
    <row r="21" spans="1:7" ht="16.05" customHeight="1" x14ac:dyDescent="0.3">
      <c r="A21" s="18" t="s">
        <v>309</v>
      </c>
      <c r="B21" s="19" t="s">
        <v>310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311</v>
      </c>
      <c r="B22" s="26" t="s">
        <v>312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2"/>
  <sheetViews>
    <sheetView workbookViewId="0">
      <pane ySplit="2" topLeftCell="A3" activePane="bottomLeft" state="frozen"/>
      <selection pane="bottomLeft" activeCell="D22" sqref="D22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3" t="s">
        <v>15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313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314</v>
      </c>
      <c r="B4" s="26" t="s">
        <v>315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316</v>
      </c>
      <c r="B5" s="19" t="s">
        <v>317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318</v>
      </c>
      <c r="B6" s="26" t="s">
        <v>319</v>
      </c>
      <c r="C6" s="20" t="s">
        <v>85</v>
      </c>
      <c r="D6" s="21"/>
      <c r="E6" s="22">
        <v>3</v>
      </c>
      <c r="F6" s="23">
        <v>3</v>
      </c>
      <c r="G6" s="24">
        <f t="shared" si="0"/>
        <v>0</v>
      </c>
    </row>
    <row r="7" spans="1:7" ht="16.05" customHeight="1" x14ac:dyDescent="0.3">
      <c r="A7" s="18" t="s">
        <v>320</v>
      </c>
      <c r="B7" s="19" t="s">
        <v>321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322</v>
      </c>
      <c r="B8" s="26" t="s">
        <v>323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324</v>
      </c>
      <c r="B9" s="19" t="s">
        <v>325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326</v>
      </c>
      <c r="B10" s="26" t="s">
        <v>327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328</v>
      </c>
      <c r="B11" s="19" t="s">
        <v>329</v>
      </c>
      <c r="C11" s="20" t="s">
        <v>85</v>
      </c>
      <c r="D11" s="21"/>
      <c r="E11" s="22">
        <v>2</v>
      </c>
      <c r="F11" s="23">
        <v>2</v>
      </c>
      <c r="G11" s="24">
        <f t="shared" si="0"/>
        <v>0</v>
      </c>
    </row>
    <row r="12" spans="1:7" ht="16.05" customHeight="1" x14ac:dyDescent="0.3">
      <c r="A12" s="25" t="s">
        <v>330</v>
      </c>
      <c r="B12" s="26" t="s">
        <v>331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332</v>
      </c>
      <c r="B13" s="19" t="s">
        <v>333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334</v>
      </c>
      <c r="B14" s="26" t="s">
        <v>335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336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337</v>
      </c>
      <c r="B16" s="26" t="s">
        <v>338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339</v>
      </c>
      <c r="B17" s="19" t="s">
        <v>340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341</v>
      </c>
      <c r="B18" s="26" t="s">
        <v>342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343</v>
      </c>
      <c r="B19" s="19" t="s">
        <v>344</v>
      </c>
      <c r="C19" s="20" t="s">
        <v>85</v>
      </c>
      <c r="D19" s="21"/>
      <c r="E19" s="22">
        <v>3</v>
      </c>
      <c r="F19" s="23">
        <v>3</v>
      </c>
      <c r="G19" s="24">
        <f t="shared" si="0"/>
        <v>0</v>
      </c>
    </row>
    <row r="20" spans="1:7" ht="16.05" customHeight="1" x14ac:dyDescent="0.3">
      <c r="A20" s="25" t="s">
        <v>345</v>
      </c>
      <c r="B20" s="26" t="s">
        <v>346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347</v>
      </c>
      <c r="B21" s="19" t="s">
        <v>348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349</v>
      </c>
      <c r="B22" s="26" t="s">
        <v>350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"/>
  <sheetViews>
    <sheetView workbookViewId="0">
      <pane ySplit="2" topLeftCell="A3" activePane="bottomLeft" state="frozen"/>
      <selection pane="bottomLeft" activeCell="F17" sqref="F17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1" t="s">
        <v>16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351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352</v>
      </c>
      <c r="B4" s="26" t="s">
        <v>353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354</v>
      </c>
      <c r="B5" s="19" t="s">
        <v>355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356</v>
      </c>
      <c r="B6" s="26" t="s">
        <v>357</v>
      </c>
      <c r="C6" s="20" t="s">
        <v>85</v>
      </c>
      <c r="D6" s="21"/>
      <c r="E6" s="22">
        <v>2</v>
      </c>
      <c r="F6" s="23">
        <v>2</v>
      </c>
      <c r="G6" s="24">
        <f t="shared" si="0"/>
        <v>0</v>
      </c>
    </row>
    <row r="7" spans="1:7" ht="16.05" customHeight="1" x14ac:dyDescent="0.3">
      <c r="A7" s="18" t="s">
        <v>358</v>
      </c>
      <c r="B7" s="19" t="s">
        <v>359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360</v>
      </c>
      <c r="B8" s="26" t="s">
        <v>361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362</v>
      </c>
      <c r="B9" s="19" t="s">
        <v>363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364</v>
      </c>
      <c r="B10" s="26" t="s">
        <v>365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366</v>
      </c>
      <c r="B11" s="19" t="s">
        <v>367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368</v>
      </c>
      <c r="B12" s="26" t="s">
        <v>369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370</v>
      </c>
      <c r="B13" s="19" t="s">
        <v>371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372</v>
      </c>
      <c r="B14" s="26" t="s">
        <v>373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374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375</v>
      </c>
      <c r="B16" s="26" t="s">
        <v>376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377</v>
      </c>
      <c r="B17" s="19" t="s">
        <v>378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379</v>
      </c>
      <c r="B18" s="26" t="s">
        <v>380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381</v>
      </c>
      <c r="B19" s="19" t="s">
        <v>382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383</v>
      </c>
      <c r="B20" s="26" t="s">
        <v>384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385</v>
      </c>
      <c r="B21" s="19" t="s">
        <v>386</v>
      </c>
      <c r="C21" s="20" t="s">
        <v>85</v>
      </c>
      <c r="D21" s="21"/>
      <c r="E21" s="22">
        <v>2</v>
      </c>
      <c r="F21" s="23">
        <v>2</v>
      </c>
      <c r="G21" s="24">
        <f t="shared" si="0"/>
        <v>0</v>
      </c>
    </row>
    <row r="22" spans="1:7" ht="16.05" customHeight="1" x14ac:dyDescent="0.3">
      <c r="A22" s="25" t="s">
        <v>387</v>
      </c>
      <c r="B22" s="26" t="s">
        <v>388</v>
      </c>
      <c r="C22" s="20" t="s">
        <v>85</v>
      </c>
      <c r="D22" s="21"/>
      <c r="E22" s="22">
        <v>2</v>
      </c>
      <c r="F22" s="23">
        <v>2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pane ySplit="2" topLeftCell="A3" activePane="bottomLeft" state="frozen"/>
      <selection pane="bottomLeft" activeCell="F11" sqref="F11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4" t="s">
        <v>17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389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390</v>
      </c>
      <c r="B4" s="26" t="s">
        <v>391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392</v>
      </c>
      <c r="B5" s="19" t="s">
        <v>393</v>
      </c>
      <c r="C5" s="20" t="s">
        <v>85</v>
      </c>
      <c r="D5" s="21"/>
      <c r="E5" s="22">
        <v>2</v>
      </c>
      <c r="F5" s="23">
        <v>2</v>
      </c>
      <c r="G5" s="24">
        <f t="shared" si="0"/>
        <v>0</v>
      </c>
    </row>
    <row r="6" spans="1:7" ht="16.05" customHeight="1" x14ac:dyDescent="0.3">
      <c r="A6" s="25" t="s">
        <v>394</v>
      </c>
      <c r="B6" s="26" t="s">
        <v>395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396</v>
      </c>
      <c r="B7" s="19" t="s">
        <v>397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398</v>
      </c>
      <c r="B8" s="26" t="s">
        <v>399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400</v>
      </c>
      <c r="B9" s="19" t="s">
        <v>401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402</v>
      </c>
      <c r="B10" s="26" t="s">
        <v>403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404</v>
      </c>
      <c r="B11" s="19" t="s">
        <v>405</v>
      </c>
      <c r="C11" s="20" t="s">
        <v>85</v>
      </c>
      <c r="D11" s="21"/>
      <c r="E11" s="22">
        <v>3</v>
      </c>
      <c r="F11" s="23">
        <v>3</v>
      </c>
      <c r="G11" s="24">
        <f t="shared" si="0"/>
        <v>0</v>
      </c>
    </row>
    <row r="12" spans="1:7" ht="16.05" customHeight="1" x14ac:dyDescent="0.3">
      <c r="A12" s="25" t="s">
        <v>406</v>
      </c>
      <c r="B12" s="26" t="s">
        <v>407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408</v>
      </c>
      <c r="B13" s="19" t="s">
        <v>409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410</v>
      </c>
      <c r="B14" s="26" t="s">
        <v>411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412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413</v>
      </c>
      <c r="B16" s="26" t="s">
        <v>414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415</v>
      </c>
      <c r="B17" s="19" t="s">
        <v>416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417</v>
      </c>
      <c r="B18" s="26" t="s">
        <v>418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419</v>
      </c>
      <c r="B19" s="19" t="s">
        <v>420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421</v>
      </c>
      <c r="B20" s="26" t="s">
        <v>422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423</v>
      </c>
      <c r="B21" s="19" t="s">
        <v>424</v>
      </c>
      <c r="C21" s="20" t="s">
        <v>85</v>
      </c>
      <c r="D21" s="21"/>
      <c r="E21" s="22">
        <v>2</v>
      </c>
      <c r="F21" s="23">
        <v>2</v>
      </c>
      <c r="G21" s="24">
        <f t="shared" si="0"/>
        <v>0</v>
      </c>
    </row>
    <row r="22" spans="1:7" ht="16.05" customHeight="1" x14ac:dyDescent="0.3">
      <c r="A22" s="25" t="s">
        <v>425</v>
      </c>
      <c r="B22" s="26" t="s">
        <v>426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2"/>
  <sheetViews>
    <sheetView workbookViewId="0">
      <pane ySplit="2" topLeftCell="A3" activePane="bottomLeft" state="frozen"/>
      <selection pane="bottomLeft" activeCell="F9" sqref="F9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5" t="s">
        <v>18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427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428</v>
      </c>
      <c r="B4" s="26" t="s">
        <v>429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430</v>
      </c>
      <c r="B5" s="19" t="s">
        <v>431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432</v>
      </c>
      <c r="B6" s="26" t="s">
        <v>433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434</v>
      </c>
      <c r="B7" s="19" t="s">
        <v>435</v>
      </c>
      <c r="C7" s="20" t="s">
        <v>85</v>
      </c>
      <c r="D7" s="21"/>
      <c r="E7" s="22">
        <v>2</v>
      </c>
      <c r="F7" s="23">
        <v>2</v>
      </c>
      <c r="G7" s="24">
        <f t="shared" si="0"/>
        <v>0</v>
      </c>
    </row>
    <row r="8" spans="1:7" ht="16.05" customHeight="1" x14ac:dyDescent="0.3">
      <c r="A8" s="25" t="s">
        <v>436</v>
      </c>
      <c r="B8" s="26" t="s">
        <v>437</v>
      </c>
      <c r="C8" s="20" t="s">
        <v>85</v>
      </c>
      <c r="D8" s="21"/>
      <c r="E8" s="22">
        <v>3</v>
      </c>
      <c r="F8" s="23">
        <v>3</v>
      </c>
      <c r="G8" s="24">
        <f t="shared" si="0"/>
        <v>0</v>
      </c>
    </row>
    <row r="9" spans="1:7" ht="16.05" customHeight="1" x14ac:dyDescent="0.3">
      <c r="A9" s="18" t="s">
        <v>438</v>
      </c>
      <c r="B9" s="19" t="s">
        <v>439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440</v>
      </c>
      <c r="B10" s="26" t="s">
        <v>441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442</v>
      </c>
      <c r="B11" s="19" t="s">
        <v>443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444</v>
      </c>
      <c r="B12" s="26" t="s">
        <v>445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446</v>
      </c>
      <c r="B13" s="19" t="s">
        <v>447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448</v>
      </c>
      <c r="B14" s="26" t="s">
        <v>449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450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451</v>
      </c>
      <c r="B16" s="26" t="s">
        <v>452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453</v>
      </c>
      <c r="B17" s="19" t="s">
        <v>454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455</v>
      </c>
      <c r="B18" s="26" t="s">
        <v>456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457</v>
      </c>
      <c r="B19" s="19" t="s">
        <v>458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459</v>
      </c>
      <c r="B20" s="26" t="s">
        <v>460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461</v>
      </c>
      <c r="B21" s="19" t="s">
        <v>462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463</v>
      </c>
      <c r="B22" s="26" t="s">
        <v>464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>
      <pane ySplit="2" topLeftCell="A3" activePane="bottomLeft" state="frozen"/>
      <selection pane="bottomLeft" activeCell="F20" sqref="F20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6" t="s">
        <v>19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465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466</v>
      </c>
      <c r="B4" s="26" t="s">
        <v>467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468</v>
      </c>
      <c r="B5" s="19" t="s">
        <v>469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470</v>
      </c>
      <c r="B6" s="26" t="s">
        <v>471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472</v>
      </c>
      <c r="B7" s="19" t="s">
        <v>473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474</v>
      </c>
      <c r="B8" s="26" t="s">
        <v>475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476</v>
      </c>
      <c r="B9" s="19" t="s">
        <v>477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478</v>
      </c>
      <c r="B10" s="26" t="s">
        <v>479</v>
      </c>
      <c r="C10" s="20" t="s">
        <v>85</v>
      </c>
      <c r="D10" s="21"/>
      <c r="E10" s="22">
        <v>2</v>
      </c>
      <c r="F10" s="23">
        <v>2</v>
      </c>
      <c r="G10" s="24">
        <f t="shared" si="0"/>
        <v>0</v>
      </c>
    </row>
    <row r="11" spans="1:7" ht="16.05" customHeight="1" x14ac:dyDescent="0.3">
      <c r="A11" s="18" t="s">
        <v>480</v>
      </c>
      <c r="B11" s="19" t="s">
        <v>481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482</v>
      </c>
      <c r="B12" s="26" t="s">
        <v>483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484</v>
      </c>
      <c r="B13" s="19" t="s">
        <v>485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486</v>
      </c>
      <c r="B14" s="26" t="s">
        <v>487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488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489</v>
      </c>
      <c r="B16" s="26" t="s">
        <v>490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491</v>
      </c>
      <c r="B17" s="19" t="s">
        <v>492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493</v>
      </c>
      <c r="B18" s="26" t="s">
        <v>494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495</v>
      </c>
      <c r="B19" s="19" t="s">
        <v>496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497</v>
      </c>
      <c r="B20" s="26" t="s">
        <v>498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499</v>
      </c>
      <c r="B21" s="19" t="s">
        <v>500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501</v>
      </c>
      <c r="B22" s="26" t="s">
        <v>502</v>
      </c>
      <c r="C22" s="20" t="s">
        <v>85</v>
      </c>
      <c r="D22" s="21"/>
      <c r="E22" s="22">
        <v>3</v>
      </c>
      <c r="F22" s="23">
        <v>3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2"/>
  <sheetViews>
    <sheetView workbookViewId="0">
      <pane ySplit="2" topLeftCell="A3" activePane="bottomLeft" state="frozen"/>
      <selection pane="bottomLeft" activeCell="F10" sqref="F10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7" t="s">
        <v>20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503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504</v>
      </c>
      <c r="B4" s="26" t="s">
        <v>505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506</v>
      </c>
      <c r="B5" s="19" t="s">
        <v>507</v>
      </c>
      <c r="C5" s="20" t="s">
        <v>85</v>
      </c>
      <c r="D5" s="21"/>
      <c r="E5" s="22">
        <v>2</v>
      </c>
      <c r="F5" s="23">
        <v>2</v>
      </c>
      <c r="G5" s="24">
        <f t="shared" si="0"/>
        <v>0</v>
      </c>
    </row>
    <row r="6" spans="1:7" ht="16.05" customHeight="1" x14ac:dyDescent="0.3">
      <c r="A6" s="25" t="s">
        <v>508</v>
      </c>
      <c r="B6" s="26" t="s">
        <v>509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510</v>
      </c>
      <c r="B7" s="19" t="s">
        <v>511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512</v>
      </c>
      <c r="B8" s="26" t="s">
        <v>513</v>
      </c>
      <c r="C8" s="20" t="s">
        <v>85</v>
      </c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514</v>
      </c>
      <c r="B9" s="19" t="s">
        <v>515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516</v>
      </c>
      <c r="B10" s="26" t="s">
        <v>517</v>
      </c>
      <c r="C10" s="20" t="s">
        <v>85</v>
      </c>
      <c r="D10" s="21"/>
      <c r="E10" s="22">
        <v>3</v>
      </c>
      <c r="F10" s="23">
        <v>3</v>
      </c>
      <c r="G10" s="24">
        <f t="shared" si="0"/>
        <v>0</v>
      </c>
    </row>
    <row r="11" spans="1:7" ht="16.05" customHeight="1" x14ac:dyDescent="0.3">
      <c r="A11" s="18" t="s">
        <v>518</v>
      </c>
      <c r="B11" s="19" t="s">
        <v>519</v>
      </c>
      <c r="C11" s="20" t="s">
        <v>85</v>
      </c>
      <c r="D11" s="21"/>
      <c r="E11" s="22">
        <v>2</v>
      </c>
      <c r="F11" s="23">
        <v>2</v>
      </c>
      <c r="G11" s="24">
        <f t="shared" si="0"/>
        <v>0</v>
      </c>
    </row>
    <row r="12" spans="1:7" ht="16.05" customHeight="1" x14ac:dyDescent="0.3">
      <c r="A12" s="25" t="s">
        <v>520</v>
      </c>
      <c r="B12" s="26" t="s">
        <v>521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522</v>
      </c>
      <c r="B13" s="19" t="s">
        <v>523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524</v>
      </c>
      <c r="B14" s="26" t="s">
        <v>525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526</v>
      </c>
      <c r="B15" s="19" t="s">
        <v>109</v>
      </c>
      <c r="C15" s="20" t="s">
        <v>85</v>
      </c>
      <c r="D15" s="21"/>
      <c r="E15" s="22">
        <v>3</v>
      </c>
      <c r="F15" s="23">
        <v>3</v>
      </c>
      <c r="G15" s="24">
        <f t="shared" si="0"/>
        <v>0</v>
      </c>
    </row>
    <row r="16" spans="1:7" ht="16.05" customHeight="1" x14ac:dyDescent="0.3">
      <c r="A16" s="25" t="s">
        <v>527</v>
      </c>
      <c r="B16" s="26" t="s">
        <v>528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529</v>
      </c>
      <c r="B17" s="19" t="s">
        <v>530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531</v>
      </c>
      <c r="B18" s="26" t="s">
        <v>532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533</v>
      </c>
      <c r="B19" s="19" t="s">
        <v>534</v>
      </c>
      <c r="C19" s="20" t="s">
        <v>85</v>
      </c>
      <c r="D19" s="21"/>
      <c r="E19" s="22">
        <v>2</v>
      </c>
      <c r="F19" s="23">
        <v>2</v>
      </c>
      <c r="G19" s="24">
        <f t="shared" si="0"/>
        <v>0</v>
      </c>
    </row>
    <row r="20" spans="1:7" ht="16.05" customHeight="1" x14ac:dyDescent="0.3">
      <c r="A20" s="25" t="s">
        <v>535</v>
      </c>
      <c r="B20" s="26" t="s">
        <v>536</v>
      </c>
      <c r="C20" s="20" t="s">
        <v>85</v>
      </c>
      <c r="D20" s="21"/>
      <c r="E20" s="22">
        <v>2</v>
      </c>
      <c r="F20" s="23">
        <v>2</v>
      </c>
      <c r="G20" s="24">
        <f t="shared" si="0"/>
        <v>0</v>
      </c>
    </row>
    <row r="21" spans="1:7" ht="16.05" customHeight="1" x14ac:dyDescent="0.3">
      <c r="A21" s="18" t="s">
        <v>537</v>
      </c>
      <c r="B21" s="19" t="s">
        <v>538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539</v>
      </c>
      <c r="B22" s="26" t="s">
        <v>540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2"/>
  <sheetViews>
    <sheetView workbookViewId="0">
      <pane ySplit="2" topLeftCell="A3" activePane="bottomLeft" state="frozen"/>
      <selection pane="bottomLeft" activeCell="F16" sqref="F1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8" t="s">
        <v>21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541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542</v>
      </c>
      <c r="B4" s="26" t="s">
        <v>543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544</v>
      </c>
      <c r="B5" s="19" t="s">
        <v>545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546</v>
      </c>
      <c r="B6" s="26" t="s">
        <v>547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548</v>
      </c>
      <c r="B7" s="19" t="s">
        <v>549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550</v>
      </c>
      <c r="B8" s="26" t="s">
        <v>551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552</v>
      </c>
      <c r="B9" s="19" t="s">
        <v>553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554</v>
      </c>
      <c r="B10" s="26" t="s">
        <v>555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556</v>
      </c>
      <c r="B11" s="19" t="s">
        <v>557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558</v>
      </c>
      <c r="B12" s="26" t="s">
        <v>1993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559</v>
      </c>
      <c r="B13" s="19" t="s">
        <v>560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561</v>
      </c>
      <c r="B14" s="26" t="s">
        <v>562</v>
      </c>
      <c r="C14" s="20" t="s">
        <v>85</v>
      </c>
      <c r="D14" s="21"/>
      <c r="E14" s="22">
        <v>2</v>
      </c>
      <c r="F14" s="23">
        <v>2</v>
      </c>
      <c r="G14" s="24">
        <f t="shared" si="0"/>
        <v>0</v>
      </c>
    </row>
    <row r="15" spans="1:7" ht="16.05" customHeight="1" x14ac:dyDescent="0.3">
      <c r="A15" s="18" t="s">
        <v>563</v>
      </c>
      <c r="B15" s="19" t="s">
        <v>109</v>
      </c>
      <c r="C15" s="20" t="s">
        <v>85</v>
      </c>
      <c r="D15" s="21"/>
      <c r="E15" s="22">
        <v>3</v>
      </c>
      <c r="F15" s="23">
        <v>3</v>
      </c>
      <c r="G15" s="24">
        <f t="shared" si="0"/>
        <v>0</v>
      </c>
    </row>
    <row r="16" spans="1:7" ht="16.05" customHeight="1" x14ac:dyDescent="0.3">
      <c r="A16" s="25" t="s">
        <v>564</v>
      </c>
      <c r="B16" s="26" t="s">
        <v>565</v>
      </c>
      <c r="C16" s="20" t="s">
        <v>85</v>
      </c>
      <c r="D16" s="21"/>
      <c r="E16" s="22">
        <v>3</v>
      </c>
      <c r="F16" s="23">
        <v>3</v>
      </c>
      <c r="G16" s="24">
        <f t="shared" si="0"/>
        <v>0</v>
      </c>
    </row>
    <row r="17" spans="1:7" ht="16.05" customHeight="1" x14ac:dyDescent="0.3">
      <c r="A17" s="18" t="s">
        <v>566</v>
      </c>
      <c r="B17" s="19" t="s">
        <v>567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568</v>
      </c>
      <c r="B18" s="26" t="s">
        <v>569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570</v>
      </c>
      <c r="B19" s="19" t="s">
        <v>571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572</v>
      </c>
      <c r="B20" s="26" t="s">
        <v>573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574</v>
      </c>
      <c r="B21" s="19" t="s">
        <v>575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576</v>
      </c>
      <c r="B22" s="26" t="s">
        <v>577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2"/>
  <sheetViews>
    <sheetView workbookViewId="0">
      <pane ySplit="2" topLeftCell="A3" activePane="bottomLeft" state="frozen"/>
      <selection pane="bottomLeft" activeCell="F9" sqref="F9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9" t="s">
        <v>22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578</v>
      </c>
      <c r="B3" s="19" t="s">
        <v>84</v>
      </c>
      <c r="C3" s="20" t="s">
        <v>85</v>
      </c>
      <c r="D3" s="21"/>
      <c r="E3" s="22">
        <v>4</v>
      </c>
      <c r="F3" s="23">
        <v>4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579</v>
      </c>
      <c r="B4" s="26" t="s">
        <v>580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581</v>
      </c>
      <c r="B5" s="19" t="s">
        <v>582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583</v>
      </c>
      <c r="B6" s="26" t="s">
        <v>1995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585</v>
      </c>
      <c r="B7" s="19" t="s">
        <v>586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587</v>
      </c>
      <c r="B8" s="26" t="s">
        <v>588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589</v>
      </c>
      <c r="B9" s="19" t="s">
        <v>590</v>
      </c>
      <c r="C9" s="20" t="s">
        <v>85</v>
      </c>
      <c r="D9" s="21"/>
      <c r="E9" s="22">
        <v>3</v>
      </c>
      <c r="F9" s="23">
        <v>3</v>
      </c>
      <c r="G9" s="24">
        <f t="shared" si="0"/>
        <v>0</v>
      </c>
    </row>
    <row r="10" spans="1:7" ht="16.05" customHeight="1" x14ac:dyDescent="0.3">
      <c r="A10" s="25" t="s">
        <v>591</v>
      </c>
      <c r="B10" s="26" t="s">
        <v>592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593</v>
      </c>
      <c r="B11" s="19" t="s">
        <v>594</v>
      </c>
      <c r="C11" s="20" t="s">
        <v>85</v>
      </c>
      <c r="D11" s="21"/>
      <c r="E11" s="22">
        <v>2</v>
      </c>
      <c r="F11" s="23">
        <v>2</v>
      </c>
      <c r="G11" s="24">
        <f t="shared" si="0"/>
        <v>0</v>
      </c>
    </row>
    <row r="12" spans="1:7" ht="16.05" customHeight="1" x14ac:dyDescent="0.3">
      <c r="A12" s="25" t="s">
        <v>595</v>
      </c>
      <c r="B12" s="26" t="s">
        <v>584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596</v>
      </c>
      <c r="B13" s="19" t="s">
        <v>597</v>
      </c>
      <c r="C13" s="20" t="s">
        <v>85</v>
      </c>
      <c r="D13" s="21"/>
      <c r="E13" s="22">
        <v>2</v>
      </c>
      <c r="F13" s="23">
        <v>2</v>
      </c>
      <c r="G13" s="24">
        <f t="shared" si="0"/>
        <v>0</v>
      </c>
    </row>
    <row r="14" spans="1:7" ht="16.05" customHeight="1" x14ac:dyDescent="0.3">
      <c r="A14" s="25" t="s">
        <v>598</v>
      </c>
      <c r="B14" s="26" t="s">
        <v>599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600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601</v>
      </c>
      <c r="B16" s="26" t="s">
        <v>602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603</v>
      </c>
      <c r="B17" s="19" t="s">
        <v>604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605</v>
      </c>
      <c r="B18" s="26" t="s">
        <v>606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607</v>
      </c>
      <c r="B19" s="19" t="s">
        <v>608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609</v>
      </c>
      <c r="B20" s="26" t="s">
        <v>610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611</v>
      </c>
      <c r="B21" s="19" t="s">
        <v>612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613</v>
      </c>
      <c r="B22" s="26" t="s">
        <v>614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2"/>
  <sheetViews>
    <sheetView workbookViewId="0">
      <pane ySplit="2" topLeftCell="A3" activePane="bottomLeft" state="frozen"/>
      <selection pane="bottomLeft" activeCell="D15" sqref="D1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0" t="s">
        <v>23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615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616</v>
      </c>
      <c r="B4" s="26" t="s">
        <v>617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618</v>
      </c>
      <c r="B5" s="19" t="s">
        <v>619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620</v>
      </c>
      <c r="B6" s="26" t="s">
        <v>621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622</v>
      </c>
      <c r="B7" s="19" t="s">
        <v>623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624</v>
      </c>
      <c r="B8" s="26" t="s">
        <v>625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626</v>
      </c>
      <c r="B9" s="19" t="s">
        <v>627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628</v>
      </c>
      <c r="B10" s="26" t="s">
        <v>629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630</v>
      </c>
      <c r="B11" s="19" t="s">
        <v>631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632</v>
      </c>
      <c r="B12" s="26" t="s">
        <v>633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634</v>
      </c>
      <c r="B13" s="19" t="s">
        <v>635</v>
      </c>
      <c r="C13" s="20" t="s">
        <v>85</v>
      </c>
      <c r="D13" s="21"/>
      <c r="E13" s="22">
        <v>2</v>
      </c>
      <c r="F13" s="23">
        <v>2</v>
      </c>
      <c r="G13" s="24">
        <f t="shared" si="0"/>
        <v>0</v>
      </c>
    </row>
    <row r="14" spans="1:7" ht="16.05" customHeight="1" x14ac:dyDescent="0.3">
      <c r="A14" s="25" t="s">
        <v>636</v>
      </c>
      <c r="B14" s="26" t="s">
        <v>637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638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639</v>
      </c>
      <c r="B16" s="26" t="s">
        <v>640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641</v>
      </c>
      <c r="B17" s="19" t="s">
        <v>642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643</v>
      </c>
      <c r="B18" s="26" t="s">
        <v>644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645</v>
      </c>
      <c r="B19" s="19" t="s">
        <v>646</v>
      </c>
      <c r="C19" s="20" t="s">
        <v>85</v>
      </c>
      <c r="D19" s="21"/>
      <c r="E19" s="22">
        <v>2</v>
      </c>
      <c r="F19" s="23">
        <v>2</v>
      </c>
      <c r="G19" s="24">
        <f t="shared" si="0"/>
        <v>0</v>
      </c>
    </row>
    <row r="20" spans="1:7" ht="16.05" customHeight="1" x14ac:dyDescent="0.3">
      <c r="A20" s="25" t="s">
        <v>647</v>
      </c>
      <c r="B20" s="26" t="s">
        <v>648</v>
      </c>
      <c r="C20" s="20" t="s">
        <v>85</v>
      </c>
      <c r="D20" s="21"/>
      <c r="E20" s="22">
        <v>2</v>
      </c>
      <c r="F20" s="23">
        <v>2</v>
      </c>
      <c r="G20" s="24">
        <f t="shared" si="0"/>
        <v>0</v>
      </c>
    </row>
    <row r="21" spans="1:7" ht="16.05" customHeight="1" x14ac:dyDescent="0.3">
      <c r="A21" s="18" t="s">
        <v>649</v>
      </c>
      <c r="B21" s="19" t="s">
        <v>650</v>
      </c>
      <c r="C21" s="20" t="s">
        <v>85</v>
      </c>
      <c r="D21" s="21"/>
      <c r="E21" s="22">
        <v>3</v>
      </c>
      <c r="F21" s="23">
        <v>3</v>
      </c>
      <c r="G21" s="24">
        <f t="shared" si="0"/>
        <v>0</v>
      </c>
    </row>
    <row r="22" spans="1:7" ht="16.05" customHeight="1" x14ac:dyDescent="0.3">
      <c r="A22" s="25" t="s">
        <v>651</v>
      </c>
      <c r="B22" s="26" t="s">
        <v>652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2"/>
  <sheetViews>
    <sheetView workbookViewId="0">
      <pane ySplit="2" topLeftCell="A3" activePane="bottomLeft" state="frozen"/>
      <selection pane="bottomLeft" activeCell="F3" sqref="F3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1" t="s">
        <v>24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653</v>
      </c>
      <c r="B3" s="19" t="s">
        <v>84</v>
      </c>
      <c r="C3" s="20" t="s">
        <v>85</v>
      </c>
      <c r="D3" s="21"/>
      <c r="E3" s="22">
        <v>2</v>
      </c>
      <c r="F3" s="23">
        <v>2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654</v>
      </c>
      <c r="B4" s="26" t="s">
        <v>655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656</v>
      </c>
      <c r="B5" s="19" t="s">
        <v>657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658</v>
      </c>
      <c r="B6" s="26" t="s">
        <v>659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660</v>
      </c>
      <c r="B7" s="19" t="s">
        <v>661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662</v>
      </c>
      <c r="B8" s="26" t="s">
        <v>663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664</v>
      </c>
      <c r="B9" s="19" t="s">
        <v>665</v>
      </c>
      <c r="C9" s="20" t="s">
        <v>85</v>
      </c>
      <c r="D9" s="21"/>
      <c r="E9" s="22">
        <v>2</v>
      </c>
      <c r="F9" s="23">
        <v>2</v>
      </c>
      <c r="G9" s="24">
        <f t="shared" si="0"/>
        <v>0</v>
      </c>
    </row>
    <row r="10" spans="1:7" ht="16.05" customHeight="1" x14ac:dyDescent="0.3">
      <c r="A10" s="25" t="s">
        <v>666</v>
      </c>
      <c r="B10" s="26" t="s">
        <v>667</v>
      </c>
      <c r="C10" s="20" t="s">
        <v>85</v>
      </c>
      <c r="D10" s="21"/>
      <c r="E10" s="22">
        <v>2</v>
      </c>
      <c r="F10" s="23">
        <v>2</v>
      </c>
      <c r="G10" s="24">
        <f t="shared" si="0"/>
        <v>0</v>
      </c>
    </row>
    <row r="11" spans="1:7" ht="16.05" customHeight="1" x14ac:dyDescent="0.3">
      <c r="A11" s="18" t="s">
        <v>668</v>
      </c>
      <c r="B11" s="19" t="s">
        <v>669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670</v>
      </c>
      <c r="B12" s="26" t="s">
        <v>671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672</v>
      </c>
      <c r="B13" s="19" t="s">
        <v>673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674</v>
      </c>
      <c r="B14" s="26" t="s">
        <v>675</v>
      </c>
      <c r="C14" s="20" t="s">
        <v>85</v>
      </c>
      <c r="D14" s="21"/>
      <c r="E14" s="22">
        <v>3</v>
      </c>
      <c r="F14" s="23">
        <v>3</v>
      </c>
      <c r="G14" s="24">
        <f t="shared" si="0"/>
        <v>0</v>
      </c>
    </row>
    <row r="15" spans="1:7" ht="16.05" customHeight="1" x14ac:dyDescent="0.3">
      <c r="A15" s="18" t="s">
        <v>676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677</v>
      </c>
      <c r="B16" s="26" t="s">
        <v>678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679</v>
      </c>
      <c r="B17" s="19" t="s">
        <v>680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681</v>
      </c>
      <c r="B18" s="26" t="s">
        <v>682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683</v>
      </c>
      <c r="B19" s="19" t="s">
        <v>684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685</v>
      </c>
      <c r="B20" s="26" t="s">
        <v>686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687</v>
      </c>
      <c r="B21" s="19" t="s">
        <v>688</v>
      </c>
      <c r="C21" s="20" t="s">
        <v>85</v>
      </c>
      <c r="D21" s="21"/>
      <c r="E21" s="22">
        <v>2</v>
      </c>
      <c r="F21" s="23">
        <v>2</v>
      </c>
      <c r="G21" s="24">
        <f t="shared" si="0"/>
        <v>0</v>
      </c>
    </row>
    <row r="22" spans="1:7" ht="16.05" customHeight="1" x14ac:dyDescent="0.3">
      <c r="A22" s="25" t="s">
        <v>689</v>
      </c>
      <c r="B22" s="26" t="s">
        <v>690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2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2" t="s">
        <v>25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691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692</v>
      </c>
      <c r="B4" s="26" t="s">
        <v>693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694</v>
      </c>
      <c r="B5" s="19" t="s">
        <v>695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696</v>
      </c>
      <c r="B6" s="26" t="s">
        <v>697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698</v>
      </c>
      <c r="B7" s="19" t="s">
        <v>699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700</v>
      </c>
      <c r="B8" s="26" t="s">
        <v>701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702</v>
      </c>
      <c r="B9" s="19" t="s">
        <v>703</v>
      </c>
      <c r="C9" s="20" t="s">
        <v>85</v>
      </c>
      <c r="D9" s="21"/>
      <c r="E9" s="22">
        <v>2</v>
      </c>
      <c r="F9" s="23">
        <v>2</v>
      </c>
      <c r="G9" s="24">
        <f t="shared" si="0"/>
        <v>0</v>
      </c>
    </row>
    <row r="10" spans="1:7" ht="16.05" customHeight="1" x14ac:dyDescent="0.3">
      <c r="A10" s="25" t="s">
        <v>704</v>
      </c>
      <c r="B10" s="26" t="s">
        <v>705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706</v>
      </c>
      <c r="B11" s="19" t="s">
        <v>707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708</v>
      </c>
      <c r="B12" s="26" t="s">
        <v>709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710</v>
      </c>
      <c r="B13" s="19" t="s">
        <v>711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712</v>
      </c>
      <c r="B14" s="26" t="s">
        <v>713</v>
      </c>
      <c r="C14" s="20" t="s">
        <v>85</v>
      </c>
      <c r="D14" s="21"/>
      <c r="E14" s="22">
        <v>3</v>
      </c>
      <c r="F14" s="23">
        <v>3</v>
      </c>
      <c r="G14" s="24">
        <f t="shared" si="0"/>
        <v>0</v>
      </c>
    </row>
    <row r="15" spans="1:7" ht="16.05" customHeight="1" x14ac:dyDescent="0.3">
      <c r="A15" s="18" t="s">
        <v>714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715</v>
      </c>
      <c r="B16" s="26" t="s">
        <v>716</v>
      </c>
      <c r="C16" s="20" t="s">
        <v>85</v>
      </c>
      <c r="D16" s="21"/>
      <c r="E16" s="22">
        <v>4</v>
      </c>
      <c r="F16" s="23">
        <v>4</v>
      </c>
      <c r="G16" s="24">
        <f t="shared" si="0"/>
        <v>0</v>
      </c>
    </row>
    <row r="17" spans="1:7" ht="16.05" customHeight="1" x14ac:dyDescent="0.3">
      <c r="A17" s="18" t="s">
        <v>717</v>
      </c>
      <c r="B17" s="19" t="s">
        <v>718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719</v>
      </c>
      <c r="B18" s="26" t="s">
        <v>720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721</v>
      </c>
      <c r="B19" s="19" t="s">
        <v>722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723</v>
      </c>
      <c r="B20" s="26" t="s">
        <v>724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725</v>
      </c>
      <c r="B21" s="19" t="s">
        <v>726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727</v>
      </c>
      <c r="B22" s="26" t="s">
        <v>728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2"/>
  <sheetViews>
    <sheetView workbookViewId="0">
      <pane ySplit="2" topLeftCell="A3" activePane="bottomLeft" state="frozen"/>
      <selection pane="bottomLeft" activeCell="F16" sqref="F1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7" t="s">
        <v>26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729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730</v>
      </c>
      <c r="B4" s="26" t="s">
        <v>731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732</v>
      </c>
      <c r="B5" s="19" t="s">
        <v>733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734</v>
      </c>
      <c r="B6" s="26" t="s">
        <v>735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736</v>
      </c>
      <c r="B7" s="19" t="s">
        <v>737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738</v>
      </c>
      <c r="B8" s="26" t="s">
        <v>739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740</v>
      </c>
      <c r="B9" s="19" t="s">
        <v>741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742</v>
      </c>
      <c r="B10" s="26" t="s">
        <v>743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744</v>
      </c>
      <c r="B11" s="19" t="s">
        <v>745</v>
      </c>
      <c r="C11" s="20" t="s">
        <v>85</v>
      </c>
      <c r="D11" s="21"/>
      <c r="E11" s="22">
        <v>2</v>
      </c>
      <c r="F11" s="23">
        <v>2</v>
      </c>
      <c r="G11" s="24">
        <f t="shared" si="0"/>
        <v>0</v>
      </c>
    </row>
    <row r="12" spans="1:7" ht="16.05" customHeight="1" x14ac:dyDescent="0.3">
      <c r="A12" s="25" t="s">
        <v>746</v>
      </c>
      <c r="B12" s="26" t="s">
        <v>747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748</v>
      </c>
      <c r="B13" s="19" t="s">
        <v>749</v>
      </c>
      <c r="C13" s="20" t="s">
        <v>85</v>
      </c>
      <c r="D13" s="21"/>
      <c r="E13" s="22">
        <v>2</v>
      </c>
      <c r="F13" s="23">
        <v>2</v>
      </c>
      <c r="G13" s="24">
        <f t="shared" si="0"/>
        <v>0</v>
      </c>
    </row>
    <row r="14" spans="1:7" ht="16.05" customHeight="1" x14ac:dyDescent="0.3">
      <c r="A14" s="25" t="s">
        <v>750</v>
      </c>
      <c r="B14" s="26" t="s">
        <v>751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752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753</v>
      </c>
      <c r="B16" s="26" t="s">
        <v>754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755</v>
      </c>
      <c r="B17" s="19" t="s">
        <v>756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757</v>
      </c>
      <c r="B18" s="26" t="s">
        <v>758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759</v>
      </c>
      <c r="B19" s="19" t="s">
        <v>760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761</v>
      </c>
      <c r="B20" s="26" t="s">
        <v>762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763</v>
      </c>
      <c r="B21" s="19" t="s">
        <v>764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765</v>
      </c>
      <c r="B22" s="26" t="s">
        <v>766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2"/>
  <sheetViews>
    <sheetView workbookViewId="0">
      <pane ySplit="2" topLeftCell="A3" activePane="bottomLeft" state="frozen"/>
      <selection pane="bottomLeft" activeCell="D19" sqref="D19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3" t="s">
        <v>767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768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769</v>
      </c>
      <c r="B4" s="26" t="s">
        <v>770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771</v>
      </c>
      <c r="B5" s="19" t="s">
        <v>772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773</v>
      </c>
      <c r="B6" s="26" t="s">
        <v>774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775</v>
      </c>
      <c r="B7" s="19" t="s">
        <v>776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777</v>
      </c>
      <c r="B8" s="26" t="s">
        <v>778</v>
      </c>
      <c r="C8" s="20" t="s">
        <v>85</v>
      </c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779</v>
      </c>
      <c r="B9" s="19" t="s">
        <v>780</v>
      </c>
      <c r="C9" s="20" t="s">
        <v>85</v>
      </c>
      <c r="D9" s="21"/>
      <c r="E9" s="22">
        <v>2</v>
      </c>
      <c r="F9" s="23">
        <v>2</v>
      </c>
      <c r="G9" s="24">
        <f t="shared" si="0"/>
        <v>0</v>
      </c>
    </row>
    <row r="10" spans="1:7" ht="16.05" customHeight="1" x14ac:dyDescent="0.3">
      <c r="A10" s="25" t="s">
        <v>781</v>
      </c>
      <c r="B10" s="26" t="s">
        <v>782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783</v>
      </c>
      <c r="B11" s="19" t="s">
        <v>784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785</v>
      </c>
      <c r="B12" s="26" t="s">
        <v>786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787</v>
      </c>
      <c r="B13" s="19" t="s">
        <v>788</v>
      </c>
      <c r="C13" s="20" t="s">
        <v>85</v>
      </c>
      <c r="D13" s="21"/>
      <c r="E13" s="22">
        <v>4</v>
      </c>
      <c r="F13" s="23">
        <v>4</v>
      </c>
      <c r="G13" s="24">
        <f t="shared" si="0"/>
        <v>0</v>
      </c>
    </row>
    <row r="14" spans="1:7" ht="16.05" customHeight="1" x14ac:dyDescent="0.3">
      <c r="A14" s="25" t="s">
        <v>789</v>
      </c>
      <c r="B14" s="26" t="s">
        <v>790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791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792</v>
      </c>
      <c r="B16" s="26" t="s">
        <v>793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794</v>
      </c>
      <c r="B17" s="19" t="s">
        <v>795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796</v>
      </c>
      <c r="B18" s="26" t="s">
        <v>797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798</v>
      </c>
      <c r="B19" s="19" t="s">
        <v>799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800</v>
      </c>
      <c r="B20" s="26" t="s">
        <v>801</v>
      </c>
      <c r="C20" s="20" t="s">
        <v>85</v>
      </c>
      <c r="D20" s="21"/>
      <c r="E20" s="22">
        <v>2</v>
      </c>
      <c r="F20" s="23">
        <v>2</v>
      </c>
      <c r="G20" s="24">
        <f t="shared" si="0"/>
        <v>0</v>
      </c>
    </row>
    <row r="21" spans="1:7" ht="16.05" customHeight="1" x14ac:dyDescent="0.3">
      <c r="A21" s="18" t="s">
        <v>802</v>
      </c>
      <c r="B21" s="19" t="s">
        <v>803</v>
      </c>
      <c r="C21" s="20" t="s">
        <v>85</v>
      </c>
      <c r="D21" s="21"/>
      <c r="E21" s="22">
        <v>2</v>
      </c>
      <c r="F21" s="23">
        <v>2</v>
      </c>
      <c r="G21" s="24">
        <f t="shared" si="0"/>
        <v>0</v>
      </c>
    </row>
    <row r="22" spans="1:7" ht="16.05" customHeight="1" x14ac:dyDescent="0.3">
      <c r="A22" s="25" t="s">
        <v>804</v>
      </c>
      <c r="B22" s="26" t="s">
        <v>805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2"/>
  <sheetViews>
    <sheetView workbookViewId="0">
      <pane ySplit="2" topLeftCell="A3" activePane="bottomLeft" state="frozen"/>
      <selection pane="bottomLeft" activeCell="F22" sqref="F22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4" t="s">
        <v>28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806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807</v>
      </c>
      <c r="B4" s="26" t="s">
        <v>808</v>
      </c>
      <c r="C4" s="20" t="s">
        <v>85</v>
      </c>
      <c r="D4" s="21"/>
      <c r="E4" s="22">
        <v>3</v>
      </c>
      <c r="F4" s="23">
        <v>3</v>
      </c>
      <c r="G4" s="24">
        <f t="shared" si="0"/>
        <v>0</v>
      </c>
    </row>
    <row r="5" spans="1:7" ht="16.05" customHeight="1" x14ac:dyDescent="0.3">
      <c r="A5" s="18" t="s">
        <v>809</v>
      </c>
      <c r="B5" s="19" t="s">
        <v>810</v>
      </c>
      <c r="C5" s="20" t="s">
        <v>85</v>
      </c>
      <c r="D5" s="21"/>
      <c r="E5" s="22">
        <v>2</v>
      </c>
      <c r="F5" s="23">
        <v>2</v>
      </c>
      <c r="G5" s="24">
        <f t="shared" si="0"/>
        <v>0</v>
      </c>
    </row>
    <row r="6" spans="1:7" ht="16.05" customHeight="1" x14ac:dyDescent="0.3">
      <c r="A6" s="25" t="s">
        <v>811</v>
      </c>
      <c r="B6" s="26" t="s">
        <v>812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813</v>
      </c>
      <c r="B7" s="19" t="s">
        <v>814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815</v>
      </c>
      <c r="B8" s="26" t="s">
        <v>816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817</v>
      </c>
      <c r="B9" s="19" t="s">
        <v>818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819</v>
      </c>
      <c r="B10" s="26" t="s">
        <v>820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821</v>
      </c>
      <c r="B11" s="19" t="s">
        <v>822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823</v>
      </c>
      <c r="B12" s="26" t="s">
        <v>824</v>
      </c>
      <c r="C12" s="20" t="s">
        <v>85</v>
      </c>
      <c r="D12" s="21"/>
      <c r="E12" s="22">
        <v>2</v>
      </c>
      <c r="F12" s="23">
        <v>2</v>
      </c>
      <c r="G12" s="24">
        <f t="shared" si="0"/>
        <v>0</v>
      </c>
    </row>
    <row r="13" spans="1:7" ht="16.05" customHeight="1" x14ac:dyDescent="0.3">
      <c r="A13" s="18" t="s">
        <v>825</v>
      </c>
      <c r="B13" s="19" t="s">
        <v>826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827</v>
      </c>
      <c r="B14" s="26" t="s">
        <v>828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829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830</v>
      </c>
      <c r="B16" s="26" t="s">
        <v>831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832</v>
      </c>
      <c r="B17" s="19" t="s">
        <v>833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834</v>
      </c>
      <c r="B18" s="26" t="s">
        <v>835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836</v>
      </c>
      <c r="B19" s="19" t="s">
        <v>837</v>
      </c>
      <c r="C19" s="20" t="s">
        <v>85</v>
      </c>
      <c r="D19" s="21"/>
      <c r="E19" s="22">
        <v>2</v>
      </c>
      <c r="F19" s="23">
        <v>2</v>
      </c>
      <c r="G19" s="24">
        <f t="shared" si="0"/>
        <v>0</v>
      </c>
    </row>
    <row r="20" spans="1:7" ht="16.05" customHeight="1" x14ac:dyDescent="0.3">
      <c r="A20" s="25" t="s">
        <v>838</v>
      </c>
      <c r="B20" s="26" t="s">
        <v>839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840</v>
      </c>
      <c r="B21" s="19" t="s">
        <v>841</v>
      </c>
      <c r="C21" s="20" t="s">
        <v>85</v>
      </c>
      <c r="D21" s="21"/>
      <c r="E21" s="22">
        <v>2</v>
      </c>
      <c r="F21" s="23">
        <v>2</v>
      </c>
      <c r="G21" s="24">
        <f t="shared" si="0"/>
        <v>0</v>
      </c>
    </row>
    <row r="22" spans="1:7" ht="16.05" customHeight="1" x14ac:dyDescent="0.3">
      <c r="A22" s="25" t="s">
        <v>842</v>
      </c>
      <c r="B22" s="26" t="s">
        <v>843</v>
      </c>
      <c r="C22" s="20" t="s">
        <v>85</v>
      </c>
      <c r="D22" s="21"/>
      <c r="E22" s="22">
        <v>2</v>
      </c>
      <c r="F22" s="23">
        <v>2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2"/>
  <sheetViews>
    <sheetView workbookViewId="0">
      <pane ySplit="2" topLeftCell="A3" activePane="bottomLeft" state="frozen"/>
      <selection pane="bottomLeft" activeCell="F21" sqref="F21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5" t="s">
        <v>29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844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845</v>
      </c>
      <c r="B4" s="26" t="s">
        <v>846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847</v>
      </c>
      <c r="B5" s="19" t="s">
        <v>848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849</v>
      </c>
      <c r="B6" s="26" t="s">
        <v>850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851</v>
      </c>
      <c r="B7" s="19" t="s">
        <v>852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853</v>
      </c>
      <c r="B8" s="26" t="s">
        <v>854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855</v>
      </c>
      <c r="B9" s="19" t="s">
        <v>856</v>
      </c>
      <c r="C9" s="20" t="s">
        <v>85</v>
      </c>
      <c r="D9" s="21"/>
      <c r="E9" s="22">
        <v>5</v>
      </c>
      <c r="F9" s="23">
        <v>5</v>
      </c>
      <c r="G9" s="24">
        <f t="shared" si="0"/>
        <v>0</v>
      </c>
    </row>
    <row r="10" spans="1:7" ht="16.05" customHeight="1" x14ac:dyDescent="0.3">
      <c r="A10" s="25" t="s">
        <v>857</v>
      </c>
      <c r="B10" s="26" t="s">
        <v>858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859</v>
      </c>
      <c r="B11" s="19" t="s">
        <v>860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861</v>
      </c>
      <c r="B12" s="26" t="s">
        <v>862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863</v>
      </c>
      <c r="B13" s="19" t="s">
        <v>864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865</v>
      </c>
      <c r="B14" s="26" t="s">
        <v>866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867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868</v>
      </c>
      <c r="B16" s="26" t="s">
        <v>869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870</v>
      </c>
      <c r="B17" s="19" t="s">
        <v>871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872</v>
      </c>
      <c r="B18" s="26" t="s">
        <v>873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874</v>
      </c>
      <c r="B19" s="19" t="s">
        <v>875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876</v>
      </c>
      <c r="B20" s="26" t="s">
        <v>877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878</v>
      </c>
      <c r="B21" s="19" t="s">
        <v>879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880</v>
      </c>
      <c r="B22" s="26" t="s">
        <v>881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2"/>
  <sheetViews>
    <sheetView workbookViewId="0">
      <pane ySplit="2" topLeftCell="A3" activePane="bottomLeft" state="frozen"/>
      <selection pane="bottomLeft" activeCell="F9" sqref="F9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6" t="s">
        <v>30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882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883</v>
      </c>
      <c r="B4" s="26" t="s">
        <v>884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885</v>
      </c>
      <c r="B5" s="19" t="s">
        <v>886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887</v>
      </c>
      <c r="B6" s="26" t="s">
        <v>888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889</v>
      </c>
      <c r="B7" s="19" t="s">
        <v>890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891</v>
      </c>
      <c r="B8" s="26" t="s">
        <v>892</v>
      </c>
      <c r="C8" s="20" t="s">
        <v>85</v>
      </c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893</v>
      </c>
      <c r="B9" s="19" t="s">
        <v>894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895</v>
      </c>
      <c r="B10" s="26" t="s">
        <v>896</v>
      </c>
      <c r="C10" s="20" t="s">
        <v>85</v>
      </c>
      <c r="D10" s="21"/>
      <c r="E10" s="22">
        <v>2</v>
      </c>
      <c r="F10" s="23">
        <v>2</v>
      </c>
      <c r="G10" s="24">
        <f t="shared" si="0"/>
        <v>0</v>
      </c>
    </row>
    <row r="11" spans="1:7" ht="16.05" customHeight="1" x14ac:dyDescent="0.3">
      <c r="A11" s="18" t="s">
        <v>897</v>
      </c>
      <c r="B11" s="19" t="s">
        <v>898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899</v>
      </c>
      <c r="B12" s="26" t="s">
        <v>900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901</v>
      </c>
      <c r="B13" s="19" t="s">
        <v>902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903</v>
      </c>
      <c r="B14" s="26" t="s">
        <v>904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905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906</v>
      </c>
      <c r="B16" s="26" t="s">
        <v>907</v>
      </c>
      <c r="C16" s="20" t="s">
        <v>85</v>
      </c>
      <c r="D16" s="21"/>
      <c r="E16" s="22">
        <v>2</v>
      </c>
      <c r="F16" s="23">
        <v>2</v>
      </c>
      <c r="G16" s="24">
        <f t="shared" si="0"/>
        <v>0</v>
      </c>
    </row>
    <row r="17" spans="1:7" ht="16.05" customHeight="1" x14ac:dyDescent="0.3">
      <c r="A17" s="18" t="s">
        <v>908</v>
      </c>
      <c r="B17" s="19" t="s">
        <v>909</v>
      </c>
      <c r="C17" s="20" t="s">
        <v>85</v>
      </c>
      <c r="D17" s="21"/>
      <c r="E17" s="22">
        <v>2</v>
      </c>
      <c r="F17" s="23">
        <v>2</v>
      </c>
      <c r="G17" s="24">
        <f t="shared" si="0"/>
        <v>0</v>
      </c>
    </row>
    <row r="18" spans="1:7" ht="16.05" customHeight="1" x14ac:dyDescent="0.3">
      <c r="A18" s="25" t="s">
        <v>910</v>
      </c>
      <c r="B18" s="26" t="s">
        <v>911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912</v>
      </c>
      <c r="B19" s="19" t="s">
        <v>913</v>
      </c>
      <c r="C19" s="20" t="s">
        <v>85</v>
      </c>
      <c r="D19" s="21"/>
      <c r="E19" s="22">
        <v>2</v>
      </c>
      <c r="F19" s="23">
        <v>2</v>
      </c>
      <c r="G19" s="24">
        <f t="shared" si="0"/>
        <v>0</v>
      </c>
    </row>
    <row r="20" spans="1:7" ht="16.05" customHeight="1" x14ac:dyDescent="0.3">
      <c r="A20" s="25" t="s">
        <v>914</v>
      </c>
      <c r="B20" s="26" t="s">
        <v>915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916</v>
      </c>
      <c r="B21" s="19" t="s">
        <v>917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918</v>
      </c>
      <c r="B22" s="26" t="s">
        <v>919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2"/>
  <sheetViews>
    <sheetView workbookViewId="0">
      <pane ySplit="2" topLeftCell="A3" activePane="bottomLeft" state="frozen"/>
      <selection pane="bottomLeft" activeCell="F17" sqref="F17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7" t="s">
        <v>31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920</v>
      </c>
      <c r="B3" s="19" t="s">
        <v>84</v>
      </c>
      <c r="C3" s="20" t="s">
        <v>85</v>
      </c>
      <c r="D3" s="21"/>
      <c r="E3" s="22">
        <v>2</v>
      </c>
      <c r="F3" s="23">
        <v>2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921</v>
      </c>
      <c r="B4" s="26" t="s">
        <v>922</v>
      </c>
      <c r="C4" s="20" t="s">
        <v>85</v>
      </c>
      <c r="D4" s="21"/>
      <c r="E4" s="22">
        <v>3</v>
      </c>
      <c r="F4" s="23">
        <v>3</v>
      </c>
      <c r="G4" s="24">
        <f t="shared" si="0"/>
        <v>0</v>
      </c>
    </row>
    <row r="5" spans="1:7" ht="16.05" customHeight="1" x14ac:dyDescent="0.3">
      <c r="A5" s="18" t="s">
        <v>923</v>
      </c>
      <c r="B5" s="19" t="s">
        <v>924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925</v>
      </c>
      <c r="B6" s="26" t="s">
        <v>926</v>
      </c>
      <c r="C6" s="20" t="s">
        <v>85</v>
      </c>
      <c r="D6" s="21"/>
      <c r="E6" s="22">
        <v>2</v>
      </c>
      <c r="F6" s="23">
        <v>2</v>
      </c>
      <c r="G6" s="24">
        <f t="shared" si="0"/>
        <v>0</v>
      </c>
    </row>
    <row r="7" spans="1:7" ht="16.05" customHeight="1" x14ac:dyDescent="0.3">
      <c r="A7" s="18" t="s">
        <v>927</v>
      </c>
      <c r="B7" s="19" t="s">
        <v>928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929</v>
      </c>
      <c r="B8" s="26" t="s">
        <v>930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931</v>
      </c>
      <c r="B9" s="19" t="s">
        <v>932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933</v>
      </c>
      <c r="B10" s="26" t="s">
        <v>934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935</v>
      </c>
      <c r="B11" s="19" t="s">
        <v>936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937</v>
      </c>
      <c r="B12" s="26" t="s">
        <v>938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939</v>
      </c>
      <c r="B13" s="19" t="s">
        <v>940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941</v>
      </c>
      <c r="B14" s="26" t="s">
        <v>942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943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944</v>
      </c>
      <c r="B16" s="26" t="s">
        <v>945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946</v>
      </c>
      <c r="B17" s="19" t="s">
        <v>947</v>
      </c>
      <c r="C17" s="20" t="s">
        <v>85</v>
      </c>
      <c r="D17" s="21"/>
      <c r="E17" s="22">
        <v>2</v>
      </c>
      <c r="F17" s="23">
        <v>2</v>
      </c>
      <c r="G17" s="24">
        <f t="shared" si="0"/>
        <v>0</v>
      </c>
    </row>
    <row r="18" spans="1:7" ht="16.05" customHeight="1" x14ac:dyDescent="0.3">
      <c r="A18" s="25" t="s">
        <v>948</v>
      </c>
      <c r="B18" s="26" t="s">
        <v>949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950</v>
      </c>
      <c r="B19" s="19" t="s">
        <v>951</v>
      </c>
      <c r="C19" s="20" t="s">
        <v>85</v>
      </c>
      <c r="D19" s="21"/>
      <c r="E19" s="22">
        <v>2</v>
      </c>
      <c r="F19" s="23">
        <v>2</v>
      </c>
      <c r="G19" s="24">
        <f t="shared" si="0"/>
        <v>0</v>
      </c>
    </row>
    <row r="20" spans="1:7" ht="16.05" customHeight="1" x14ac:dyDescent="0.3">
      <c r="A20" s="25" t="s">
        <v>952</v>
      </c>
      <c r="B20" s="26" t="s">
        <v>953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954</v>
      </c>
      <c r="B21" s="19" t="s">
        <v>955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956</v>
      </c>
      <c r="B22" s="26" t="s">
        <v>957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2"/>
  <sheetViews>
    <sheetView workbookViewId="0">
      <pane ySplit="2" topLeftCell="A3" activePane="bottomLeft" state="frozen"/>
      <selection pane="bottomLeft" activeCell="D20" sqref="D20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8" t="s">
        <v>32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958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959</v>
      </c>
      <c r="B4" s="26" t="s">
        <v>960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961</v>
      </c>
      <c r="B5" s="19" t="s">
        <v>962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963</v>
      </c>
      <c r="B6" s="26" t="s">
        <v>964</v>
      </c>
      <c r="C6" s="20" t="s">
        <v>85</v>
      </c>
      <c r="D6" s="21"/>
      <c r="E6" s="22">
        <v>2</v>
      </c>
      <c r="F6" s="23">
        <v>2</v>
      </c>
      <c r="G6" s="24">
        <f t="shared" si="0"/>
        <v>0</v>
      </c>
    </row>
    <row r="7" spans="1:7" ht="16.05" customHeight="1" x14ac:dyDescent="0.3">
      <c r="A7" s="18" t="s">
        <v>965</v>
      </c>
      <c r="B7" s="19" t="s">
        <v>966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967</v>
      </c>
      <c r="B8" s="26" t="s">
        <v>968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969</v>
      </c>
      <c r="B9" s="19" t="s">
        <v>970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971</v>
      </c>
      <c r="B10" s="26" t="s">
        <v>972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973</v>
      </c>
      <c r="B11" s="19" t="s">
        <v>974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975</v>
      </c>
      <c r="B12" s="26" t="s">
        <v>976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977</v>
      </c>
      <c r="B13" s="19" t="s">
        <v>978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979</v>
      </c>
      <c r="B14" s="26" t="s">
        <v>980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981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982</v>
      </c>
      <c r="B16" s="26" t="s">
        <v>983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984</v>
      </c>
      <c r="B17" s="19" t="s">
        <v>985</v>
      </c>
      <c r="C17" s="20" t="s">
        <v>85</v>
      </c>
      <c r="D17" s="21"/>
      <c r="E17" s="22">
        <v>3</v>
      </c>
      <c r="F17" s="23">
        <v>3</v>
      </c>
      <c r="G17" s="24">
        <f t="shared" si="0"/>
        <v>0</v>
      </c>
    </row>
    <row r="18" spans="1:7" ht="16.05" customHeight="1" x14ac:dyDescent="0.3">
      <c r="A18" s="25" t="s">
        <v>986</v>
      </c>
      <c r="B18" s="26" t="s">
        <v>987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988</v>
      </c>
      <c r="B19" s="19" t="s">
        <v>989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990</v>
      </c>
      <c r="B20" s="26" t="s">
        <v>991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992</v>
      </c>
      <c r="B21" s="19" t="s">
        <v>993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994</v>
      </c>
      <c r="B22" s="26" t="s">
        <v>995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2"/>
  <sheetViews>
    <sheetView workbookViewId="0">
      <pane ySplit="2" topLeftCell="A3" activePane="bottomLeft" state="frozen"/>
      <selection pane="bottomLeft" activeCell="F12" sqref="F12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9" t="s">
        <v>33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996</v>
      </c>
      <c r="B3" s="19" t="s">
        <v>84</v>
      </c>
      <c r="C3" s="20" t="s">
        <v>85</v>
      </c>
      <c r="D3" s="21"/>
      <c r="E3" s="22">
        <v>3</v>
      </c>
      <c r="F3" s="23">
        <v>3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997</v>
      </c>
      <c r="B4" s="26" t="s">
        <v>998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999</v>
      </c>
      <c r="B5" s="19" t="s">
        <v>1000</v>
      </c>
      <c r="C5" s="20" t="s">
        <v>85</v>
      </c>
      <c r="D5" s="21"/>
      <c r="E5" s="22">
        <v>2</v>
      </c>
      <c r="F5" s="23">
        <v>2</v>
      </c>
      <c r="G5" s="24">
        <f t="shared" si="0"/>
        <v>0</v>
      </c>
    </row>
    <row r="6" spans="1:7" ht="16.05" customHeight="1" x14ac:dyDescent="0.3">
      <c r="A6" s="25" t="s">
        <v>1001</v>
      </c>
      <c r="B6" s="26" t="s">
        <v>1002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1003</v>
      </c>
      <c r="B7" s="19" t="s">
        <v>1004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1005</v>
      </c>
      <c r="B8" s="26" t="s">
        <v>1006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1007</v>
      </c>
      <c r="B9" s="19" t="s">
        <v>1008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1009</v>
      </c>
      <c r="B10" s="26" t="s">
        <v>1010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1011</v>
      </c>
      <c r="B11" s="19" t="s">
        <v>1012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1013</v>
      </c>
      <c r="B12" s="26" t="s">
        <v>1014</v>
      </c>
      <c r="C12" s="20" t="s">
        <v>85</v>
      </c>
      <c r="D12" s="21"/>
      <c r="E12" s="22">
        <v>2</v>
      </c>
      <c r="F12" s="23">
        <v>2</v>
      </c>
      <c r="G12" s="24">
        <f t="shared" si="0"/>
        <v>0</v>
      </c>
    </row>
    <row r="13" spans="1:7" ht="16.05" customHeight="1" x14ac:dyDescent="0.3">
      <c r="A13" s="18" t="s">
        <v>1015</v>
      </c>
      <c r="B13" s="19" t="s">
        <v>1016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1017</v>
      </c>
      <c r="B14" s="26" t="s">
        <v>1018</v>
      </c>
      <c r="C14" s="20" t="s">
        <v>85</v>
      </c>
      <c r="D14" s="21"/>
      <c r="E14" s="22">
        <v>2</v>
      </c>
      <c r="F14" s="23">
        <v>2</v>
      </c>
      <c r="G14" s="24">
        <f t="shared" si="0"/>
        <v>0</v>
      </c>
    </row>
    <row r="15" spans="1:7" ht="16.05" customHeight="1" x14ac:dyDescent="0.3">
      <c r="A15" s="18" t="s">
        <v>1019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1020</v>
      </c>
      <c r="B16" s="26" t="s">
        <v>1021</v>
      </c>
      <c r="C16" s="20" t="s">
        <v>85</v>
      </c>
      <c r="D16" s="21"/>
      <c r="E16" s="22">
        <v>5</v>
      </c>
      <c r="F16" s="23">
        <v>5</v>
      </c>
      <c r="G16" s="24">
        <f t="shared" si="0"/>
        <v>0</v>
      </c>
    </row>
    <row r="17" spans="1:7" ht="16.05" customHeight="1" x14ac:dyDescent="0.3">
      <c r="A17" s="18" t="s">
        <v>1022</v>
      </c>
      <c r="B17" s="19" t="s">
        <v>1023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1024</v>
      </c>
      <c r="B18" s="26" t="s">
        <v>1025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1026</v>
      </c>
      <c r="B19" s="19" t="s">
        <v>1027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1028</v>
      </c>
      <c r="B20" s="26" t="s">
        <v>1029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1030</v>
      </c>
      <c r="B21" s="19" t="s">
        <v>1031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1032</v>
      </c>
      <c r="B22" s="26" t="s">
        <v>1033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2"/>
  <sheetViews>
    <sheetView workbookViewId="0">
      <pane ySplit="2" topLeftCell="A3" activePane="bottomLeft" state="frozen"/>
      <selection pane="bottomLeft" activeCell="D18" sqref="D18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0" t="s">
        <v>34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1034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1035</v>
      </c>
      <c r="B4" s="26" t="s">
        <v>1036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1037</v>
      </c>
      <c r="B5" s="19" t="s">
        <v>1038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1039</v>
      </c>
      <c r="B6" s="26" t="s">
        <v>1040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1041</v>
      </c>
      <c r="B7" s="19" t="s">
        <v>1042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1043</v>
      </c>
      <c r="B8" s="26" t="s">
        <v>1044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1045</v>
      </c>
      <c r="B9" s="19" t="s">
        <v>1046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1047</v>
      </c>
      <c r="B10" s="26" t="s">
        <v>1048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1049</v>
      </c>
      <c r="B11" s="19" t="s">
        <v>1050</v>
      </c>
      <c r="C11" s="20" t="s">
        <v>85</v>
      </c>
      <c r="D11" s="21"/>
      <c r="E11" s="22">
        <v>2</v>
      </c>
      <c r="F11" s="23">
        <v>2</v>
      </c>
      <c r="G11" s="24">
        <f t="shared" si="0"/>
        <v>0</v>
      </c>
    </row>
    <row r="12" spans="1:7" ht="16.05" customHeight="1" x14ac:dyDescent="0.3">
      <c r="A12" s="25" t="s">
        <v>1051</v>
      </c>
      <c r="B12" s="26" t="s">
        <v>1052</v>
      </c>
      <c r="C12" s="20" t="s">
        <v>85</v>
      </c>
      <c r="D12" s="21"/>
      <c r="E12" s="22">
        <v>2</v>
      </c>
      <c r="F12" s="23">
        <v>2</v>
      </c>
      <c r="G12" s="24">
        <f t="shared" si="0"/>
        <v>0</v>
      </c>
    </row>
    <row r="13" spans="1:7" ht="16.05" customHeight="1" x14ac:dyDescent="0.3">
      <c r="A13" s="18" t="s">
        <v>1053</v>
      </c>
      <c r="B13" s="19" t="s">
        <v>1054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1055</v>
      </c>
      <c r="B14" s="26" t="s">
        <v>1056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1057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1058</v>
      </c>
      <c r="B16" s="26" t="s">
        <v>1059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1060</v>
      </c>
      <c r="B17" s="19" t="s">
        <v>1061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1062</v>
      </c>
      <c r="B18" s="26" t="s">
        <v>1063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1064</v>
      </c>
      <c r="B19" s="19" t="s">
        <v>1065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1066</v>
      </c>
      <c r="B20" s="26" t="s">
        <v>1067</v>
      </c>
      <c r="C20" s="20" t="s">
        <v>85</v>
      </c>
      <c r="D20" s="21"/>
      <c r="E20" s="22">
        <v>2</v>
      </c>
      <c r="F20" s="23">
        <v>2</v>
      </c>
      <c r="G20" s="24">
        <f t="shared" si="0"/>
        <v>0</v>
      </c>
    </row>
    <row r="21" spans="1:7" ht="16.05" customHeight="1" x14ac:dyDescent="0.3">
      <c r="A21" s="18" t="s">
        <v>1068</v>
      </c>
      <c r="B21" s="19" t="s">
        <v>1069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1070</v>
      </c>
      <c r="B22" s="26" t="s">
        <v>1071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2"/>
  <sheetViews>
    <sheetView workbookViewId="0">
      <pane ySplit="2" topLeftCell="A3" activePane="bottomLeft" state="frozen"/>
      <selection pane="bottomLeft" activeCell="F7" sqref="F7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1" t="s">
        <v>35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1072</v>
      </c>
      <c r="B3" s="19" t="s">
        <v>84</v>
      </c>
      <c r="C3" s="20" t="s">
        <v>85</v>
      </c>
      <c r="D3" s="21"/>
      <c r="E3" s="22">
        <v>3</v>
      </c>
      <c r="F3" s="23">
        <v>3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1073</v>
      </c>
      <c r="B4" s="26" t="s">
        <v>1074</v>
      </c>
      <c r="C4" s="20" t="s">
        <v>85</v>
      </c>
      <c r="D4" s="21"/>
      <c r="E4" s="22">
        <v>3</v>
      </c>
      <c r="F4" s="23">
        <v>3</v>
      </c>
      <c r="G4" s="24">
        <f t="shared" si="0"/>
        <v>0</v>
      </c>
    </row>
    <row r="5" spans="1:7" ht="16.05" customHeight="1" x14ac:dyDescent="0.3">
      <c r="A5" s="18" t="s">
        <v>1075</v>
      </c>
      <c r="B5" s="19" t="s">
        <v>1076</v>
      </c>
      <c r="C5" s="20" t="s">
        <v>85</v>
      </c>
      <c r="D5" s="21"/>
      <c r="E5" s="22">
        <v>3</v>
      </c>
      <c r="F5" s="23">
        <v>3</v>
      </c>
      <c r="G5" s="24">
        <f t="shared" si="0"/>
        <v>0</v>
      </c>
    </row>
    <row r="6" spans="1:7" ht="16.05" customHeight="1" x14ac:dyDescent="0.3">
      <c r="A6" s="25" t="s">
        <v>1077</v>
      </c>
      <c r="B6" s="26" t="s">
        <v>1078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1079</v>
      </c>
      <c r="B7" s="19" t="s">
        <v>1080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1081</v>
      </c>
      <c r="B8" s="26" t="s">
        <v>1082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1083</v>
      </c>
      <c r="B9" s="19" t="s">
        <v>1084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1085</v>
      </c>
      <c r="B10" s="26" t="s">
        <v>1086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1087</v>
      </c>
      <c r="B11" s="19" t="s">
        <v>1088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1089</v>
      </c>
      <c r="B12" s="26" t="s">
        <v>1090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1091</v>
      </c>
      <c r="B13" s="19" t="s">
        <v>1092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1093</v>
      </c>
      <c r="B14" s="26" t="s">
        <v>1094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1095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1096</v>
      </c>
      <c r="B16" s="26" t="s">
        <v>1097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1098</v>
      </c>
      <c r="B17" s="19" t="s">
        <v>1099</v>
      </c>
      <c r="C17" s="20" t="s">
        <v>85</v>
      </c>
      <c r="D17" s="21"/>
      <c r="E17" s="22">
        <v>2</v>
      </c>
      <c r="F17" s="23">
        <v>2</v>
      </c>
      <c r="G17" s="24">
        <f t="shared" si="0"/>
        <v>0</v>
      </c>
    </row>
    <row r="18" spans="1:7" ht="16.05" customHeight="1" x14ac:dyDescent="0.3">
      <c r="A18" s="25" t="s">
        <v>1100</v>
      </c>
      <c r="B18" s="26" t="s">
        <v>1101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1102</v>
      </c>
      <c r="B19" s="19" t="s">
        <v>1103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1104</v>
      </c>
      <c r="B20" s="26" t="s">
        <v>1105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1106</v>
      </c>
      <c r="B21" s="19" t="s">
        <v>1107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1108</v>
      </c>
      <c r="B22" s="26" t="s">
        <v>1109</v>
      </c>
      <c r="C22" s="20" t="s">
        <v>85</v>
      </c>
      <c r="D22" s="21"/>
      <c r="E22" s="22">
        <v>2</v>
      </c>
      <c r="F22" s="23">
        <v>2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2"/>
  <sheetViews>
    <sheetView workbookViewId="0">
      <pane ySplit="2" topLeftCell="A3" activePane="bottomLeft" state="frozen"/>
      <selection pane="bottomLeft" activeCell="F11" sqref="F11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2" t="s">
        <v>36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1110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1111</v>
      </c>
      <c r="B4" s="26" t="s">
        <v>1112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1113</v>
      </c>
      <c r="B5" s="19" t="s">
        <v>1114</v>
      </c>
      <c r="C5" s="20" t="s">
        <v>85</v>
      </c>
      <c r="D5" s="21"/>
      <c r="E5" s="22">
        <v>2</v>
      </c>
      <c r="F5" s="23">
        <v>2</v>
      </c>
      <c r="G5" s="24">
        <f t="shared" si="0"/>
        <v>0</v>
      </c>
    </row>
    <row r="6" spans="1:7" ht="16.05" customHeight="1" x14ac:dyDescent="0.3">
      <c r="A6" s="25" t="s">
        <v>1115</v>
      </c>
      <c r="B6" s="26" t="s">
        <v>1116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1117</v>
      </c>
      <c r="B7" s="19" t="s">
        <v>1118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1119</v>
      </c>
      <c r="B8" s="26" t="s">
        <v>1120</v>
      </c>
      <c r="C8" s="20" t="s">
        <v>85</v>
      </c>
      <c r="D8" s="21"/>
      <c r="E8" s="22">
        <v>3</v>
      </c>
      <c r="F8" s="23">
        <v>3</v>
      </c>
      <c r="G8" s="24">
        <f t="shared" si="0"/>
        <v>0</v>
      </c>
    </row>
    <row r="9" spans="1:7" ht="16.05" customHeight="1" x14ac:dyDescent="0.3">
      <c r="A9" s="18" t="s">
        <v>1121</v>
      </c>
      <c r="B9" s="19" t="s">
        <v>1122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1123</v>
      </c>
      <c r="B10" s="26" t="s">
        <v>1124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1125</v>
      </c>
      <c r="B11" s="19" t="s">
        <v>1126</v>
      </c>
      <c r="C11" s="20" t="s">
        <v>85</v>
      </c>
      <c r="D11" s="21"/>
      <c r="E11" s="22">
        <v>3</v>
      </c>
      <c r="F11" s="23">
        <v>3</v>
      </c>
      <c r="G11" s="24">
        <f t="shared" si="0"/>
        <v>0</v>
      </c>
    </row>
    <row r="12" spans="1:7" ht="16.05" customHeight="1" x14ac:dyDescent="0.3">
      <c r="A12" s="25" t="s">
        <v>1127</v>
      </c>
      <c r="B12" s="26" t="s">
        <v>1128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1129</v>
      </c>
      <c r="B13" s="19" t="s">
        <v>1130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1131</v>
      </c>
      <c r="B14" s="26" t="s">
        <v>1132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1133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1134</v>
      </c>
      <c r="B16" s="26" t="s">
        <v>1135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1136</v>
      </c>
      <c r="B17" s="19" t="s">
        <v>1137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1138</v>
      </c>
      <c r="B18" s="26" t="s">
        <v>1139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1140</v>
      </c>
      <c r="B19" s="19" t="s">
        <v>1141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1142</v>
      </c>
      <c r="B20" s="26" t="s">
        <v>1143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1144</v>
      </c>
      <c r="B21" s="19" t="s">
        <v>1145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1146</v>
      </c>
      <c r="B22" s="26" t="s">
        <v>1147</v>
      </c>
      <c r="C22" s="20" t="s">
        <v>85</v>
      </c>
      <c r="D22" s="21"/>
      <c r="E22" s="22">
        <v>2</v>
      </c>
      <c r="F22" s="23">
        <v>2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2"/>
  <sheetViews>
    <sheetView workbookViewId="0">
      <pane ySplit="2" topLeftCell="A3" activePane="bottomLeft" state="frozen"/>
      <selection pane="bottomLeft" activeCell="F10" sqref="F10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2" t="s">
        <v>37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1148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1149</v>
      </c>
      <c r="B4" s="26" t="s">
        <v>1150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1151</v>
      </c>
      <c r="B5" s="19" t="s">
        <v>1152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1153</v>
      </c>
      <c r="B6" s="26" t="s">
        <v>1154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1155</v>
      </c>
      <c r="B7" s="19" t="s">
        <v>1156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1157</v>
      </c>
      <c r="B8" s="26" t="s">
        <v>1158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1159</v>
      </c>
      <c r="B9" s="19" t="s">
        <v>1160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1161</v>
      </c>
      <c r="B10" s="26" t="s">
        <v>1162</v>
      </c>
      <c r="C10" s="20" t="s">
        <v>85</v>
      </c>
      <c r="D10" s="21"/>
      <c r="E10" s="22">
        <v>3</v>
      </c>
      <c r="F10" s="23">
        <v>3</v>
      </c>
      <c r="G10" s="24">
        <f t="shared" si="0"/>
        <v>0</v>
      </c>
    </row>
    <row r="11" spans="1:7" ht="16.05" customHeight="1" x14ac:dyDescent="0.3">
      <c r="A11" s="18" t="s">
        <v>1163</v>
      </c>
      <c r="B11" s="19" t="s">
        <v>1164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1165</v>
      </c>
      <c r="B12" s="26" t="s">
        <v>1166</v>
      </c>
      <c r="C12" s="20" t="s">
        <v>85</v>
      </c>
      <c r="D12" s="21"/>
      <c r="E12" s="22">
        <v>3</v>
      </c>
      <c r="F12" s="23">
        <v>3</v>
      </c>
      <c r="G12" s="24">
        <f t="shared" si="0"/>
        <v>0</v>
      </c>
    </row>
    <row r="13" spans="1:7" ht="16.05" customHeight="1" x14ac:dyDescent="0.3">
      <c r="A13" s="18" t="s">
        <v>1167</v>
      </c>
      <c r="B13" s="19" t="s">
        <v>1168</v>
      </c>
      <c r="C13" s="20" t="s">
        <v>85</v>
      </c>
      <c r="D13" s="21"/>
      <c r="E13" s="22">
        <v>2</v>
      </c>
      <c r="F13" s="23">
        <v>2</v>
      </c>
      <c r="G13" s="24">
        <f t="shared" si="0"/>
        <v>0</v>
      </c>
    </row>
    <row r="14" spans="1:7" ht="16.05" customHeight="1" x14ac:dyDescent="0.3">
      <c r="A14" s="25" t="s">
        <v>1169</v>
      </c>
      <c r="B14" s="26" t="s">
        <v>1170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1171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1172</v>
      </c>
      <c r="B16" s="26" t="s">
        <v>1173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1174</v>
      </c>
      <c r="B17" s="19" t="s">
        <v>1175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1176</v>
      </c>
      <c r="B18" s="26" t="s">
        <v>1177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1178</v>
      </c>
      <c r="B19" s="19" t="s">
        <v>1179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1180</v>
      </c>
      <c r="B20" s="26" t="s">
        <v>1181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1182</v>
      </c>
      <c r="B21" s="19" t="s">
        <v>1183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1184</v>
      </c>
      <c r="B22" s="26" t="s">
        <v>1185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2"/>
  <sheetViews>
    <sheetView workbookViewId="0">
      <pane ySplit="2" topLeftCell="A3" activePane="bottomLeft" state="frozen"/>
      <selection pane="bottomLeft" activeCell="F7" sqref="F7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3" t="s">
        <v>38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1186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1187</v>
      </c>
      <c r="B4" s="26" t="s">
        <v>1188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1189</v>
      </c>
      <c r="B5" s="19" t="s">
        <v>1190</v>
      </c>
      <c r="C5" s="20" t="s">
        <v>85</v>
      </c>
      <c r="D5" s="21"/>
      <c r="E5" s="22">
        <v>3</v>
      </c>
      <c r="F5" s="23">
        <v>3</v>
      </c>
      <c r="G5" s="24">
        <f t="shared" si="0"/>
        <v>0</v>
      </c>
    </row>
    <row r="6" spans="1:7" ht="16.05" customHeight="1" x14ac:dyDescent="0.3">
      <c r="A6" s="25" t="s">
        <v>1191</v>
      </c>
      <c r="B6" s="26" t="s">
        <v>1192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1193</v>
      </c>
      <c r="B7" s="19" t="s">
        <v>1194</v>
      </c>
      <c r="C7" s="20" t="s">
        <v>85</v>
      </c>
      <c r="D7" s="21"/>
      <c r="E7" s="22">
        <v>2</v>
      </c>
      <c r="F7" s="23">
        <v>2</v>
      </c>
      <c r="G7" s="24">
        <f t="shared" si="0"/>
        <v>0</v>
      </c>
    </row>
    <row r="8" spans="1:7" ht="16.05" customHeight="1" x14ac:dyDescent="0.3">
      <c r="A8" s="25" t="s">
        <v>1195</v>
      </c>
      <c r="B8" s="26" t="s">
        <v>1196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1197</v>
      </c>
      <c r="B9" s="19" t="s">
        <v>1198</v>
      </c>
      <c r="C9" s="20" t="s">
        <v>85</v>
      </c>
      <c r="D9" s="21"/>
      <c r="E9" s="22">
        <v>3</v>
      </c>
      <c r="F9" s="23">
        <v>3</v>
      </c>
      <c r="G9" s="24">
        <f t="shared" si="0"/>
        <v>0</v>
      </c>
    </row>
    <row r="10" spans="1:7" ht="16.05" customHeight="1" x14ac:dyDescent="0.3">
      <c r="A10" s="25" t="s">
        <v>1199</v>
      </c>
      <c r="B10" s="26" t="s">
        <v>1200</v>
      </c>
      <c r="C10" s="20" t="s">
        <v>85</v>
      </c>
      <c r="D10" s="21"/>
      <c r="E10" s="22">
        <v>2</v>
      </c>
      <c r="F10" s="23">
        <v>2</v>
      </c>
      <c r="G10" s="24">
        <f t="shared" si="0"/>
        <v>0</v>
      </c>
    </row>
    <row r="11" spans="1:7" ht="16.05" customHeight="1" x14ac:dyDescent="0.3">
      <c r="A11" s="18" t="s">
        <v>1201</v>
      </c>
      <c r="B11" s="19" t="s">
        <v>1202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1203</v>
      </c>
      <c r="B12" s="26" t="s">
        <v>1204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1205</v>
      </c>
      <c r="B13" s="19" t="s">
        <v>1206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1207</v>
      </c>
      <c r="B14" s="26" t="s">
        <v>1208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1209</v>
      </c>
      <c r="B15" s="19" t="s">
        <v>109</v>
      </c>
      <c r="C15" s="20" t="s">
        <v>85</v>
      </c>
      <c r="D15" s="21"/>
      <c r="E15" s="22">
        <v>2</v>
      </c>
      <c r="F15" s="23">
        <v>2</v>
      </c>
      <c r="G15" s="24">
        <f t="shared" si="0"/>
        <v>0</v>
      </c>
    </row>
    <row r="16" spans="1:7" ht="16.05" customHeight="1" x14ac:dyDescent="0.3">
      <c r="A16" s="25" t="s">
        <v>1210</v>
      </c>
      <c r="B16" s="26" t="s">
        <v>1211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1212</v>
      </c>
      <c r="B17" s="19" t="s">
        <v>1213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1214</v>
      </c>
      <c r="B18" s="26" t="s">
        <v>1215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1216</v>
      </c>
      <c r="B19" s="19" t="s">
        <v>1217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1218</v>
      </c>
      <c r="B20" s="26" t="s">
        <v>1219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1220</v>
      </c>
      <c r="B21" s="19" t="s">
        <v>1221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1222</v>
      </c>
      <c r="B22" s="26" t="s">
        <v>1223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2"/>
  <sheetViews>
    <sheetView workbookViewId="0">
      <pane ySplit="2" topLeftCell="A3" activePane="bottomLeft" state="frozen"/>
      <selection pane="bottomLeft" activeCell="F6" sqref="F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4" t="s">
        <v>39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1224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1225</v>
      </c>
      <c r="B4" s="26" t="s">
        <v>1226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1227</v>
      </c>
      <c r="B5" s="19" t="s">
        <v>1228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1229</v>
      </c>
      <c r="B6" s="26" t="s">
        <v>1230</v>
      </c>
      <c r="C6" s="20" t="s">
        <v>85</v>
      </c>
      <c r="D6" s="21"/>
      <c r="E6" s="22">
        <v>3</v>
      </c>
      <c r="F6" s="23">
        <v>3</v>
      </c>
      <c r="G6" s="24">
        <f t="shared" si="0"/>
        <v>0</v>
      </c>
    </row>
    <row r="7" spans="1:7" ht="16.05" customHeight="1" x14ac:dyDescent="0.3">
      <c r="A7" s="18" t="s">
        <v>1231</v>
      </c>
      <c r="B7" s="19" t="s">
        <v>1232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1233</v>
      </c>
      <c r="B8" s="26" t="s">
        <v>1234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1235</v>
      </c>
      <c r="B9" s="19" t="s">
        <v>1236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1237</v>
      </c>
      <c r="B10" s="26" t="s">
        <v>1238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1239</v>
      </c>
      <c r="B11" s="19" t="s">
        <v>1240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1241</v>
      </c>
      <c r="B12" s="26" t="s">
        <v>1242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1243</v>
      </c>
      <c r="B13" s="19" t="s">
        <v>1244</v>
      </c>
      <c r="C13" s="20" t="s">
        <v>85</v>
      </c>
      <c r="D13" s="21"/>
      <c r="E13" s="22">
        <v>3</v>
      </c>
      <c r="F13" s="23">
        <v>3</v>
      </c>
      <c r="G13" s="24">
        <f t="shared" si="0"/>
        <v>0</v>
      </c>
    </row>
    <row r="14" spans="1:7" ht="16.05" customHeight="1" x14ac:dyDescent="0.3">
      <c r="A14" s="25" t="s">
        <v>1245</v>
      </c>
      <c r="B14" s="26" t="s">
        <v>1246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1247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1248</v>
      </c>
      <c r="B16" s="26" t="s">
        <v>1249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1250</v>
      </c>
      <c r="B17" s="19" t="s">
        <v>1251</v>
      </c>
      <c r="C17" s="20" t="s">
        <v>85</v>
      </c>
      <c r="D17" s="21"/>
      <c r="E17" s="22">
        <v>2</v>
      </c>
      <c r="F17" s="23">
        <v>2</v>
      </c>
      <c r="G17" s="24">
        <f t="shared" si="0"/>
        <v>0</v>
      </c>
    </row>
    <row r="18" spans="1:7" ht="16.05" customHeight="1" x14ac:dyDescent="0.3">
      <c r="A18" s="25" t="s">
        <v>1252</v>
      </c>
      <c r="B18" s="26" t="s">
        <v>1253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1254</v>
      </c>
      <c r="B19" s="19" t="s">
        <v>1255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1256</v>
      </c>
      <c r="B20" s="26" t="s">
        <v>1257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1258</v>
      </c>
      <c r="B21" s="19" t="s">
        <v>1259</v>
      </c>
      <c r="C21" s="20" t="s">
        <v>85</v>
      </c>
      <c r="D21" s="21"/>
      <c r="E21" s="22">
        <v>2</v>
      </c>
      <c r="F21" s="23">
        <v>2</v>
      </c>
      <c r="G21" s="24">
        <f t="shared" si="0"/>
        <v>0</v>
      </c>
    </row>
    <row r="22" spans="1:7" ht="16.05" customHeight="1" x14ac:dyDescent="0.3">
      <c r="A22" s="25" t="s">
        <v>1260</v>
      </c>
      <c r="B22" s="26" t="s">
        <v>1261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2"/>
  <sheetViews>
    <sheetView workbookViewId="0">
      <pane ySplit="2" topLeftCell="A3" activePane="bottomLeft" state="frozen"/>
      <selection pane="bottomLeft" activeCell="F10" sqref="F10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5" t="s">
        <v>40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1262</v>
      </c>
      <c r="B3" s="19" t="s">
        <v>84</v>
      </c>
      <c r="C3" s="20" t="s">
        <v>85</v>
      </c>
      <c r="D3" s="21"/>
      <c r="E3" s="22">
        <v>4</v>
      </c>
      <c r="F3" s="23">
        <v>4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1263</v>
      </c>
      <c r="B4" s="26" t="s">
        <v>1264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1265</v>
      </c>
      <c r="B5" s="19" t="s">
        <v>1266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1267</v>
      </c>
      <c r="B6" s="26" t="s">
        <v>1268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1269</v>
      </c>
      <c r="B7" s="19" t="s">
        <v>1270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1271</v>
      </c>
      <c r="B8" s="26" t="s">
        <v>1272</v>
      </c>
      <c r="C8" s="20" t="s">
        <v>85</v>
      </c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1273</v>
      </c>
      <c r="B9" s="19" t="s">
        <v>1274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1275</v>
      </c>
      <c r="B10" s="26" t="s">
        <v>1276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1277</v>
      </c>
      <c r="B11" s="19" t="s">
        <v>1278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1279</v>
      </c>
      <c r="B12" s="26" t="s">
        <v>1280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1281</v>
      </c>
      <c r="B13" s="19" t="s">
        <v>1282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1283</v>
      </c>
      <c r="B14" s="26" t="s">
        <v>1284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1285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1286</v>
      </c>
      <c r="B16" s="26" t="s">
        <v>1287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1288</v>
      </c>
      <c r="B17" s="19" t="s">
        <v>1289</v>
      </c>
      <c r="C17" s="20" t="s">
        <v>85</v>
      </c>
      <c r="D17" s="21"/>
      <c r="E17" s="22">
        <v>2</v>
      </c>
      <c r="F17" s="23">
        <v>2</v>
      </c>
      <c r="G17" s="24">
        <f t="shared" si="0"/>
        <v>0</v>
      </c>
    </row>
    <row r="18" spans="1:7" ht="16.05" customHeight="1" x14ac:dyDescent="0.3">
      <c r="A18" s="25" t="s">
        <v>1290</v>
      </c>
      <c r="B18" s="26" t="s">
        <v>1291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1292</v>
      </c>
      <c r="B19" s="19" t="s">
        <v>1293</v>
      </c>
      <c r="C19" s="20" t="s">
        <v>85</v>
      </c>
      <c r="D19" s="21"/>
      <c r="E19" s="22">
        <v>2</v>
      </c>
      <c r="F19" s="23">
        <v>2</v>
      </c>
      <c r="G19" s="24">
        <f t="shared" si="0"/>
        <v>0</v>
      </c>
    </row>
    <row r="20" spans="1:7" ht="16.05" customHeight="1" x14ac:dyDescent="0.3">
      <c r="A20" s="25" t="s">
        <v>1294</v>
      </c>
      <c r="B20" s="26" t="s">
        <v>1295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1296</v>
      </c>
      <c r="B21" s="19" t="s">
        <v>1297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1298</v>
      </c>
      <c r="B22" s="26" t="s">
        <v>1299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2"/>
  <sheetViews>
    <sheetView workbookViewId="0">
      <pane ySplit="2" topLeftCell="A3" activePane="bottomLeft" state="frozen"/>
      <selection pane="bottomLeft" activeCell="D14" sqref="D14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2" t="s">
        <v>41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1300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1301</v>
      </c>
      <c r="B4" s="26" t="s">
        <v>1302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1303</v>
      </c>
      <c r="B5" s="19" t="s">
        <v>1304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1305</v>
      </c>
      <c r="B6" s="26" t="s">
        <v>1306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1307</v>
      </c>
      <c r="B7" s="19" t="s">
        <v>1308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1309</v>
      </c>
      <c r="B8" s="26" t="s">
        <v>1310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1311</v>
      </c>
      <c r="B9" s="19" t="s">
        <v>1312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1313</v>
      </c>
      <c r="B10" s="26" t="s">
        <v>1314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1315</v>
      </c>
      <c r="B11" s="19" t="s">
        <v>1316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1317</v>
      </c>
      <c r="B12" s="26" t="s">
        <v>1318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1319</v>
      </c>
      <c r="B13" s="19" t="s">
        <v>1320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1321</v>
      </c>
      <c r="B14" s="26" t="s">
        <v>1322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1323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1324</v>
      </c>
      <c r="B16" s="26" t="s">
        <v>1325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1326</v>
      </c>
      <c r="B17" s="19" t="s">
        <v>1327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1328</v>
      </c>
      <c r="B18" s="26" t="s">
        <v>1329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1330</v>
      </c>
      <c r="B19" s="19" t="s">
        <v>1331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1332</v>
      </c>
      <c r="B20" s="26" t="s">
        <v>1333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1334</v>
      </c>
      <c r="B21" s="19" t="s">
        <v>1335</v>
      </c>
      <c r="C21" s="20" t="s">
        <v>85</v>
      </c>
      <c r="D21" s="21"/>
      <c r="E21" s="22">
        <v>2</v>
      </c>
      <c r="F21" s="23">
        <v>2</v>
      </c>
      <c r="G21" s="24">
        <f t="shared" si="0"/>
        <v>0</v>
      </c>
    </row>
    <row r="22" spans="1:7" ht="16.05" customHeight="1" x14ac:dyDescent="0.3">
      <c r="A22" s="25" t="s">
        <v>1336</v>
      </c>
      <c r="B22" s="26" t="s">
        <v>1337</v>
      </c>
      <c r="C22" s="20" t="s">
        <v>85</v>
      </c>
      <c r="D22" s="21"/>
      <c r="E22" s="22">
        <v>3</v>
      </c>
      <c r="F22" s="23">
        <v>3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2"/>
  <sheetViews>
    <sheetView workbookViewId="0">
      <pane ySplit="2" topLeftCell="A3" activePane="bottomLeft" state="frozen"/>
      <selection pane="bottomLeft" activeCell="F13" sqref="F13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6" t="s">
        <v>42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1338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1339</v>
      </c>
      <c r="B4" s="26" t="s">
        <v>1340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1341</v>
      </c>
      <c r="B5" s="19" t="s">
        <v>1342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1343</v>
      </c>
      <c r="B6" s="26" t="s">
        <v>1344</v>
      </c>
      <c r="C6" s="20" t="s">
        <v>85</v>
      </c>
      <c r="D6" s="21"/>
      <c r="E6" s="22">
        <v>2</v>
      </c>
      <c r="F6" s="23">
        <v>2</v>
      </c>
      <c r="G6" s="24">
        <f t="shared" si="0"/>
        <v>0</v>
      </c>
    </row>
    <row r="7" spans="1:7" ht="16.05" customHeight="1" x14ac:dyDescent="0.3">
      <c r="A7" s="18" t="s">
        <v>1345</v>
      </c>
      <c r="B7" s="19" t="s">
        <v>1346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1347</v>
      </c>
      <c r="B8" s="26" t="s">
        <v>1348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1349</v>
      </c>
      <c r="B9" s="19" t="s">
        <v>1350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1351</v>
      </c>
      <c r="B10" s="26" t="s">
        <v>1352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1353</v>
      </c>
      <c r="B11" s="19" t="s">
        <v>1354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1355</v>
      </c>
      <c r="B12" s="26" t="s">
        <v>1356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1357</v>
      </c>
      <c r="B13" s="19" t="s">
        <v>1358</v>
      </c>
      <c r="C13" s="20" t="s">
        <v>85</v>
      </c>
      <c r="D13" s="21"/>
      <c r="E13" s="22">
        <v>2</v>
      </c>
      <c r="F13" s="23">
        <v>2</v>
      </c>
      <c r="G13" s="24">
        <f t="shared" si="0"/>
        <v>0</v>
      </c>
    </row>
    <row r="14" spans="1:7" ht="16.05" customHeight="1" x14ac:dyDescent="0.3">
      <c r="A14" s="25" t="s">
        <v>1359</v>
      </c>
      <c r="B14" s="26" t="s">
        <v>1360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1361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1362</v>
      </c>
      <c r="B16" s="26" t="s">
        <v>1363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1364</v>
      </c>
      <c r="B17" s="19" t="s">
        <v>1365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1366</v>
      </c>
      <c r="B18" s="26" t="s">
        <v>1367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1368</v>
      </c>
      <c r="B19" s="19" t="s">
        <v>1369</v>
      </c>
      <c r="C19" s="20" t="s">
        <v>85</v>
      </c>
      <c r="D19" s="21"/>
      <c r="E19" s="22">
        <v>2</v>
      </c>
      <c r="F19" s="23">
        <v>2</v>
      </c>
      <c r="G19" s="24">
        <f t="shared" si="0"/>
        <v>0</v>
      </c>
    </row>
    <row r="20" spans="1:7" ht="16.05" customHeight="1" x14ac:dyDescent="0.3">
      <c r="A20" s="25" t="s">
        <v>1370</v>
      </c>
      <c r="B20" s="26" t="s">
        <v>1371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1372</v>
      </c>
      <c r="B21" s="19" t="s">
        <v>1373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1374</v>
      </c>
      <c r="B22" s="26" t="s">
        <v>1375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2"/>
  <sheetViews>
    <sheetView workbookViewId="0">
      <pane ySplit="2" topLeftCell="A3" activePane="bottomLeft" state="frozen"/>
      <selection pane="bottomLeft" activeCell="F18" sqref="F18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7" t="s">
        <v>43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1376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1377</v>
      </c>
      <c r="B4" s="26" t="s">
        <v>1378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1379</v>
      </c>
      <c r="B5" s="19" t="s">
        <v>1380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1381</v>
      </c>
      <c r="B6" s="26" t="s">
        <v>1382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1383</v>
      </c>
      <c r="B7" s="19" t="s">
        <v>1384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1385</v>
      </c>
      <c r="B8" s="26" t="s">
        <v>1386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1387</v>
      </c>
      <c r="B9" s="19" t="s">
        <v>1388</v>
      </c>
      <c r="C9" s="20" t="s">
        <v>85</v>
      </c>
      <c r="D9" s="21"/>
      <c r="E9" s="22">
        <v>2</v>
      </c>
      <c r="F9" s="23">
        <v>2</v>
      </c>
      <c r="G9" s="24">
        <f t="shared" si="0"/>
        <v>0</v>
      </c>
    </row>
    <row r="10" spans="1:7" ht="16.05" customHeight="1" x14ac:dyDescent="0.3">
      <c r="A10" s="25" t="s">
        <v>1389</v>
      </c>
      <c r="B10" s="26" t="s">
        <v>1390</v>
      </c>
      <c r="C10" s="20" t="s">
        <v>85</v>
      </c>
      <c r="D10" s="21"/>
      <c r="E10" s="22">
        <v>3</v>
      </c>
      <c r="F10" s="23">
        <v>3</v>
      </c>
      <c r="G10" s="24">
        <f t="shared" si="0"/>
        <v>0</v>
      </c>
    </row>
    <row r="11" spans="1:7" ht="16.05" customHeight="1" x14ac:dyDescent="0.3">
      <c r="A11" s="18" t="s">
        <v>1391</v>
      </c>
      <c r="B11" s="19" t="s">
        <v>1392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1393</v>
      </c>
      <c r="B12" s="26" t="s">
        <v>1394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1395</v>
      </c>
      <c r="B13" s="19" t="s">
        <v>1396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1397</v>
      </c>
      <c r="B14" s="26" t="s">
        <v>1398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1399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1400</v>
      </c>
      <c r="B16" s="26" t="s">
        <v>1401</v>
      </c>
      <c r="C16" s="20" t="s">
        <v>85</v>
      </c>
      <c r="D16" s="21"/>
      <c r="E16" s="22">
        <v>2</v>
      </c>
      <c r="F16" s="23">
        <v>2</v>
      </c>
      <c r="G16" s="24">
        <f t="shared" si="0"/>
        <v>0</v>
      </c>
    </row>
    <row r="17" spans="1:7" ht="16.05" customHeight="1" x14ac:dyDescent="0.3">
      <c r="A17" s="18" t="s">
        <v>1402</v>
      </c>
      <c r="B17" s="19" t="s">
        <v>1403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1404</v>
      </c>
      <c r="B18" s="26" t="s">
        <v>1405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1406</v>
      </c>
      <c r="B19" s="19" t="s">
        <v>1407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1408</v>
      </c>
      <c r="B20" s="26" t="s">
        <v>1409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1410</v>
      </c>
      <c r="B21" s="19" t="s">
        <v>1411</v>
      </c>
      <c r="C21" s="20" t="s">
        <v>85</v>
      </c>
      <c r="D21" s="21"/>
      <c r="E21" s="22">
        <v>2</v>
      </c>
      <c r="F21" s="23">
        <v>2</v>
      </c>
      <c r="G21" s="24">
        <f t="shared" si="0"/>
        <v>0</v>
      </c>
    </row>
    <row r="22" spans="1:7" ht="16.05" customHeight="1" x14ac:dyDescent="0.3">
      <c r="A22" s="25" t="s">
        <v>1412</v>
      </c>
      <c r="B22" s="26" t="s">
        <v>1413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2"/>
  <sheetViews>
    <sheetView workbookViewId="0">
      <pane ySplit="2" topLeftCell="A3" activePane="bottomLeft" state="frozen"/>
      <selection pane="bottomLeft" activeCell="D15" sqref="D1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8" t="s">
        <v>44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1414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1415</v>
      </c>
      <c r="B4" s="26" t="s">
        <v>1416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1417</v>
      </c>
      <c r="B5" s="19" t="s">
        <v>1418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1419</v>
      </c>
      <c r="B6" s="26" t="s">
        <v>1420</v>
      </c>
      <c r="C6" s="20" t="s">
        <v>85</v>
      </c>
      <c r="D6" s="21"/>
      <c r="E6" s="22">
        <v>3</v>
      </c>
      <c r="F6" s="23">
        <v>3</v>
      </c>
      <c r="G6" s="24">
        <f t="shared" si="0"/>
        <v>0</v>
      </c>
    </row>
    <row r="7" spans="1:7" ht="16.05" customHeight="1" x14ac:dyDescent="0.3">
      <c r="A7" s="18" t="s">
        <v>1421</v>
      </c>
      <c r="B7" s="19" t="s">
        <v>1422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1423</v>
      </c>
      <c r="B8" s="26" t="s">
        <v>1424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1425</v>
      </c>
      <c r="B9" s="19" t="s">
        <v>1426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1427</v>
      </c>
      <c r="B10" s="26" t="s">
        <v>1428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1429</v>
      </c>
      <c r="B11" s="19" t="s">
        <v>1430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1431</v>
      </c>
      <c r="B12" s="26" t="s">
        <v>1432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1433</v>
      </c>
      <c r="B13" s="19" t="s">
        <v>1434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1435</v>
      </c>
      <c r="B14" s="26" t="s">
        <v>1436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1437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1438</v>
      </c>
      <c r="B16" s="26" t="s">
        <v>1439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1440</v>
      </c>
      <c r="B17" s="19" t="s">
        <v>1441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1442</v>
      </c>
      <c r="B18" s="26" t="s">
        <v>1443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1444</v>
      </c>
      <c r="B19" s="19" t="s">
        <v>1445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1446</v>
      </c>
      <c r="B20" s="26" t="s">
        <v>1447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1448</v>
      </c>
      <c r="B21" s="19" t="s">
        <v>1449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1450</v>
      </c>
      <c r="B22" s="26" t="s">
        <v>1451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22"/>
  <sheetViews>
    <sheetView workbookViewId="0">
      <pane ySplit="2" topLeftCell="A3" activePane="bottomLeft" state="frozen"/>
      <selection pane="bottomLeft" activeCell="F16" sqref="F1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5" t="s">
        <v>45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1452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1453</v>
      </c>
      <c r="B4" s="26" t="s">
        <v>1454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1455</v>
      </c>
      <c r="B5" s="19" t="s">
        <v>1456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1457</v>
      </c>
      <c r="B6" s="26" t="s">
        <v>1458</v>
      </c>
      <c r="C6" s="20" t="s">
        <v>85</v>
      </c>
      <c r="D6" s="21"/>
      <c r="E6" s="22">
        <v>3</v>
      </c>
      <c r="F6" s="23">
        <v>3</v>
      </c>
      <c r="G6" s="24">
        <f t="shared" si="0"/>
        <v>0</v>
      </c>
    </row>
    <row r="7" spans="1:7" ht="16.05" customHeight="1" x14ac:dyDescent="0.3">
      <c r="A7" s="18" t="s">
        <v>1459</v>
      </c>
      <c r="B7" s="19" t="s">
        <v>1460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1461</v>
      </c>
      <c r="B8" s="26" t="s">
        <v>1462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1463</v>
      </c>
      <c r="B9" s="19" t="s">
        <v>1464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1465</v>
      </c>
      <c r="B10" s="26" t="s">
        <v>1466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1467</v>
      </c>
      <c r="B11" s="19" t="s">
        <v>1468</v>
      </c>
      <c r="C11" s="20" t="s">
        <v>85</v>
      </c>
      <c r="D11" s="21"/>
      <c r="E11" s="22">
        <v>2</v>
      </c>
      <c r="F11" s="23">
        <v>2</v>
      </c>
      <c r="G11" s="24">
        <f t="shared" si="0"/>
        <v>0</v>
      </c>
    </row>
    <row r="12" spans="1:7" ht="16.05" customHeight="1" x14ac:dyDescent="0.3">
      <c r="A12" s="25" t="s">
        <v>1469</v>
      </c>
      <c r="B12" s="26" t="s">
        <v>1470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1471</v>
      </c>
      <c r="B13" s="19" t="s">
        <v>1472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1473</v>
      </c>
      <c r="B14" s="26" t="s">
        <v>1474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1475</v>
      </c>
      <c r="B15" s="19" t="s">
        <v>109</v>
      </c>
      <c r="C15" s="20" t="s">
        <v>85</v>
      </c>
      <c r="D15" s="21"/>
      <c r="E15" s="22">
        <v>2</v>
      </c>
      <c r="F15" s="23">
        <v>2</v>
      </c>
      <c r="G15" s="24">
        <f t="shared" si="0"/>
        <v>0</v>
      </c>
    </row>
    <row r="16" spans="1:7" ht="16.05" customHeight="1" x14ac:dyDescent="0.3">
      <c r="A16" s="25" t="s">
        <v>1476</v>
      </c>
      <c r="B16" s="26" t="s">
        <v>1477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1478</v>
      </c>
      <c r="B17" s="19" t="s">
        <v>1479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1480</v>
      </c>
      <c r="B18" s="26" t="s">
        <v>1481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1482</v>
      </c>
      <c r="B19" s="19" t="s">
        <v>1483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1484</v>
      </c>
      <c r="B20" s="26" t="s">
        <v>1485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1486</v>
      </c>
      <c r="B21" s="19" t="s">
        <v>1487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1488</v>
      </c>
      <c r="B22" s="26" t="s">
        <v>1489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22"/>
  <sheetViews>
    <sheetView workbookViewId="0">
      <pane ySplit="2" topLeftCell="A3" activePane="bottomLeft" state="frozen"/>
      <selection pane="bottomLeft" activeCell="D6" sqref="D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9" t="s">
        <v>46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1490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1491</v>
      </c>
      <c r="B4" s="26" t="s">
        <v>1492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1493</v>
      </c>
      <c r="B5" s="19" t="s">
        <v>1494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1495</v>
      </c>
      <c r="B6" s="26" t="s">
        <v>1496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1497</v>
      </c>
      <c r="B7" s="19" t="s">
        <v>1498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1499</v>
      </c>
      <c r="B8" s="26" t="s">
        <v>1500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1501</v>
      </c>
      <c r="B9" s="19" t="s">
        <v>1502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1503</v>
      </c>
      <c r="B10" s="26" t="s">
        <v>1504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1505</v>
      </c>
      <c r="B11" s="19" t="s">
        <v>1506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1507</v>
      </c>
      <c r="B12" s="26" t="s">
        <v>1508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1509</v>
      </c>
      <c r="B13" s="19" t="s">
        <v>1510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1511</v>
      </c>
      <c r="B14" s="26" t="s">
        <v>1512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1513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1514</v>
      </c>
      <c r="B16" s="26" t="s">
        <v>1515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1516</v>
      </c>
      <c r="B17" s="19" t="s">
        <v>1517</v>
      </c>
      <c r="C17" s="20" t="s">
        <v>85</v>
      </c>
      <c r="D17" s="21"/>
      <c r="E17" s="22">
        <v>2</v>
      </c>
      <c r="F17" s="23">
        <v>2</v>
      </c>
      <c r="G17" s="24">
        <f t="shared" si="0"/>
        <v>0</v>
      </c>
    </row>
    <row r="18" spans="1:7" ht="16.05" customHeight="1" x14ac:dyDescent="0.3">
      <c r="A18" s="25" t="s">
        <v>1518</v>
      </c>
      <c r="B18" s="26" t="s">
        <v>1519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1520</v>
      </c>
      <c r="B19" s="19" t="s">
        <v>1521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1522</v>
      </c>
      <c r="B20" s="26" t="s">
        <v>1523</v>
      </c>
      <c r="C20" s="20" t="s">
        <v>85</v>
      </c>
      <c r="D20" s="21"/>
      <c r="E20" s="22">
        <v>2</v>
      </c>
      <c r="F20" s="23">
        <v>2</v>
      </c>
      <c r="G20" s="24">
        <f t="shared" si="0"/>
        <v>0</v>
      </c>
    </row>
    <row r="21" spans="1:7" ht="16.05" customHeight="1" x14ac:dyDescent="0.3">
      <c r="A21" s="18" t="s">
        <v>1524</v>
      </c>
      <c r="B21" s="19" t="s">
        <v>1525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1526</v>
      </c>
      <c r="B22" s="26" t="s">
        <v>1527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22"/>
  <sheetViews>
    <sheetView workbookViewId="0">
      <pane ySplit="2" topLeftCell="A3" activePane="bottomLeft" state="frozen"/>
      <selection pane="bottomLeft" activeCell="F6" sqref="F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0" t="s">
        <v>47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1528</v>
      </c>
      <c r="B3" s="19" t="s">
        <v>84</v>
      </c>
      <c r="C3" s="20" t="s">
        <v>85</v>
      </c>
      <c r="D3" s="21"/>
      <c r="E3" s="22">
        <v>3</v>
      </c>
      <c r="F3" s="23">
        <v>3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1529</v>
      </c>
      <c r="B4" s="26" t="s">
        <v>1530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1531</v>
      </c>
      <c r="B5" s="19" t="s">
        <v>1532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1533</v>
      </c>
      <c r="B6" s="26" t="s">
        <v>1534</v>
      </c>
      <c r="C6" s="20" t="s">
        <v>85</v>
      </c>
      <c r="D6" s="21"/>
      <c r="E6" s="22">
        <v>2</v>
      </c>
      <c r="F6" s="23">
        <v>2</v>
      </c>
      <c r="G6" s="24">
        <f t="shared" si="0"/>
        <v>0</v>
      </c>
    </row>
    <row r="7" spans="1:7" ht="16.05" customHeight="1" x14ac:dyDescent="0.3">
      <c r="A7" s="18" t="s">
        <v>1535</v>
      </c>
      <c r="B7" s="19" t="s">
        <v>1536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1537</v>
      </c>
      <c r="B8" s="26" t="s">
        <v>1538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1539</v>
      </c>
      <c r="B9" s="19" t="s">
        <v>1540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1541</v>
      </c>
      <c r="B10" s="26" t="s">
        <v>1542</v>
      </c>
      <c r="C10" s="20" t="s">
        <v>85</v>
      </c>
      <c r="D10" s="21"/>
      <c r="E10" s="22">
        <v>2</v>
      </c>
      <c r="F10" s="23">
        <v>2</v>
      </c>
      <c r="G10" s="24">
        <f t="shared" si="0"/>
        <v>0</v>
      </c>
    </row>
    <row r="11" spans="1:7" ht="16.05" customHeight="1" x14ac:dyDescent="0.3">
      <c r="A11" s="18" t="s">
        <v>1543</v>
      </c>
      <c r="B11" s="19" t="s">
        <v>1544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1545</v>
      </c>
      <c r="B12" s="26" t="s">
        <v>1546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1547</v>
      </c>
      <c r="B13" s="19" t="s">
        <v>1548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1549</v>
      </c>
      <c r="B14" s="26" t="s">
        <v>1550</v>
      </c>
      <c r="C14" s="20" t="s">
        <v>85</v>
      </c>
      <c r="D14" s="21"/>
      <c r="E14" s="22">
        <v>3</v>
      </c>
      <c r="F14" s="23">
        <v>3</v>
      </c>
      <c r="G14" s="24">
        <f t="shared" si="0"/>
        <v>0</v>
      </c>
    </row>
    <row r="15" spans="1:7" ht="16.05" customHeight="1" x14ac:dyDescent="0.3">
      <c r="A15" s="18" t="s">
        <v>1551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1552</v>
      </c>
      <c r="B16" s="26" t="s">
        <v>1553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1554</v>
      </c>
      <c r="B17" s="19" t="s">
        <v>1555</v>
      </c>
      <c r="C17" s="20" t="s">
        <v>85</v>
      </c>
      <c r="D17" s="21"/>
      <c r="E17" s="22">
        <v>2</v>
      </c>
      <c r="F17" s="23">
        <v>2</v>
      </c>
      <c r="G17" s="24">
        <f t="shared" si="0"/>
        <v>0</v>
      </c>
    </row>
    <row r="18" spans="1:7" ht="16.05" customHeight="1" x14ac:dyDescent="0.3">
      <c r="A18" s="25" t="s">
        <v>1556</v>
      </c>
      <c r="B18" s="26" t="s">
        <v>1557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1558</v>
      </c>
      <c r="B19" s="19" t="s">
        <v>1559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1560</v>
      </c>
      <c r="B20" s="26" t="s">
        <v>1561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1562</v>
      </c>
      <c r="B21" s="19" t="s">
        <v>1563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1564</v>
      </c>
      <c r="B22" s="26" t="s">
        <v>1565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2"/>
  <sheetViews>
    <sheetView workbookViewId="0">
      <pane ySplit="2" topLeftCell="A3" activePane="bottomLeft" state="frozen"/>
      <selection pane="bottomLeft" activeCell="F15" sqref="F1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7" t="s">
        <v>48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1566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1567</v>
      </c>
      <c r="B4" s="26" t="s">
        <v>1568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1569</v>
      </c>
      <c r="B5" s="19" t="s">
        <v>1570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1571</v>
      </c>
      <c r="B6" s="26" t="s">
        <v>1572</v>
      </c>
      <c r="C6" s="20" t="s">
        <v>85</v>
      </c>
      <c r="D6" s="21"/>
      <c r="E6" s="22">
        <v>3</v>
      </c>
      <c r="F6" s="23">
        <v>3</v>
      </c>
      <c r="G6" s="24">
        <f t="shared" si="0"/>
        <v>0</v>
      </c>
    </row>
    <row r="7" spans="1:7" ht="16.05" customHeight="1" x14ac:dyDescent="0.3">
      <c r="A7" s="18" t="s">
        <v>1573</v>
      </c>
      <c r="B7" s="19" t="s">
        <v>1574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1575</v>
      </c>
      <c r="B8" s="26" t="s">
        <v>1576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1577</v>
      </c>
      <c r="B9" s="19" t="s">
        <v>1578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1579</v>
      </c>
      <c r="B10" s="26" t="s">
        <v>1580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1581</v>
      </c>
      <c r="B11" s="19" t="s">
        <v>1582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1583</v>
      </c>
      <c r="B12" s="26" t="s">
        <v>1584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1585</v>
      </c>
      <c r="B13" s="19" t="s">
        <v>1586</v>
      </c>
      <c r="C13" s="20" t="s">
        <v>85</v>
      </c>
      <c r="D13" s="21"/>
      <c r="E13" s="22">
        <v>4</v>
      </c>
      <c r="F13" s="23">
        <v>4</v>
      </c>
      <c r="G13" s="24">
        <f t="shared" si="0"/>
        <v>0</v>
      </c>
    </row>
    <row r="14" spans="1:7" ht="16.05" customHeight="1" x14ac:dyDescent="0.3">
      <c r="A14" s="25" t="s">
        <v>1587</v>
      </c>
      <c r="B14" s="26" t="s">
        <v>1588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1589</v>
      </c>
      <c r="B15" s="19" t="s">
        <v>109</v>
      </c>
      <c r="C15" s="20" t="s">
        <v>85</v>
      </c>
      <c r="D15" s="21"/>
      <c r="E15" s="22">
        <v>2</v>
      </c>
      <c r="F15" s="23">
        <v>2</v>
      </c>
      <c r="G15" s="24">
        <f t="shared" si="0"/>
        <v>0</v>
      </c>
    </row>
    <row r="16" spans="1:7" ht="16.05" customHeight="1" x14ac:dyDescent="0.3">
      <c r="A16" s="25" t="s">
        <v>1590</v>
      </c>
      <c r="B16" s="26" t="s">
        <v>1591</v>
      </c>
      <c r="C16" s="20" t="s">
        <v>85</v>
      </c>
      <c r="D16" s="21"/>
      <c r="E16" s="22">
        <v>2</v>
      </c>
      <c r="F16" s="23">
        <v>2</v>
      </c>
      <c r="G16" s="24">
        <f t="shared" si="0"/>
        <v>0</v>
      </c>
    </row>
    <row r="17" spans="1:7" ht="16.05" customHeight="1" x14ac:dyDescent="0.3">
      <c r="A17" s="18" t="s">
        <v>1592</v>
      </c>
      <c r="B17" s="19" t="s">
        <v>1593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1594</v>
      </c>
      <c r="B18" s="26" t="s">
        <v>1595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1596</v>
      </c>
      <c r="B19" s="19" t="s">
        <v>1597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1598</v>
      </c>
      <c r="B20" s="26" t="s">
        <v>1599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1600</v>
      </c>
      <c r="B21" s="19" t="s">
        <v>1601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1602</v>
      </c>
      <c r="B22" s="26" t="s">
        <v>1603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2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1" t="s">
        <v>49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1604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1605</v>
      </c>
      <c r="B4" s="26" t="s">
        <v>1606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1607</v>
      </c>
      <c r="B5" s="19" t="s">
        <v>1608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1609</v>
      </c>
      <c r="B6" s="26" t="s">
        <v>1610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1611</v>
      </c>
      <c r="B7" s="19" t="s">
        <v>1612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1613</v>
      </c>
      <c r="B8" s="26" t="s">
        <v>1614</v>
      </c>
      <c r="C8" s="20" t="s">
        <v>85</v>
      </c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1615</v>
      </c>
      <c r="B9" s="19" t="s">
        <v>1616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1617</v>
      </c>
      <c r="B10" s="26" t="s">
        <v>1618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1619</v>
      </c>
      <c r="B11" s="19" t="s">
        <v>1620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1621</v>
      </c>
      <c r="B12" s="26" t="s">
        <v>1622</v>
      </c>
      <c r="C12" s="20" t="s">
        <v>85</v>
      </c>
      <c r="D12" s="21"/>
      <c r="E12" s="22">
        <v>3</v>
      </c>
      <c r="F12" s="23">
        <v>3</v>
      </c>
      <c r="G12" s="24">
        <f t="shared" si="0"/>
        <v>0</v>
      </c>
    </row>
    <row r="13" spans="1:7" ht="16.05" customHeight="1" x14ac:dyDescent="0.3">
      <c r="A13" s="18" t="s">
        <v>1623</v>
      </c>
      <c r="B13" s="19" t="s">
        <v>1624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1625</v>
      </c>
      <c r="B14" s="26" t="s">
        <v>1626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1627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1628</v>
      </c>
      <c r="B16" s="26" t="s">
        <v>1629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1630</v>
      </c>
      <c r="B17" s="19" t="s">
        <v>1631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1632</v>
      </c>
      <c r="B18" s="26" t="s">
        <v>1633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1634</v>
      </c>
      <c r="B19" s="19" t="s">
        <v>1635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1636</v>
      </c>
      <c r="B20" s="26" t="s">
        <v>1637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1638</v>
      </c>
      <c r="B21" s="19" t="s">
        <v>1639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1640</v>
      </c>
      <c r="B22" s="26" t="s">
        <v>1641</v>
      </c>
      <c r="C22" s="20" t="s">
        <v>85</v>
      </c>
      <c r="D22" s="21"/>
      <c r="E22" s="22">
        <v>2</v>
      </c>
      <c r="F22" s="23">
        <v>2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2"/>
  <sheetViews>
    <sheetView workbookViewId="0">
      <pane ySplit="2" topLeftCell="A3" activePane="bottomLeft" state="frozen"/>
      <selection pane="bottomLeft" activeCell="F10" sqref="F10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2" t="s">
        <v>50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1642</v>
      </c>
      <c r="B3" s="19" t="s">
        <v>84</v>
      </c>
      <c r="C3" s="20" t="s">
        <v>85</v>
      </c>
      <c r="D3" s="21"/>
      <c r="E3" s="22">
        <v>2</v>
      </c>
      <c r="F3" s="23">
        <v>2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1643</v>
      </c>
      <c r="B4" s="26" t="s">
        <v>1644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1645</v>
      </c>
      <c r="B5" s="19" t="s">
        <v>1646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1647</v>
      </c>
      <c r="B6" s="26" t="s">
        <v>1648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1649</v>
      </c>
      <c r="B7" s="19" t="s">
        <v>1650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1651</v>
      </c>
      <c r="B8" s="26" t="s">
        <v>1652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1653</v>
      </c>
      <c r="B9" s="19" t="s">
        <v>1654</v>
      </c>
      <c r="C9" s="20" t="s">
        <v>85</v>
      </c>
      <c r="D9" s="21"/>
      <c r="E9" s="22">
        <v>2</v>
      </c>
      <c r="F9" s="23">
        <v>2</v>
      </c>
      <c r="G9" s="24">
        <f t="shared" si="0"/>
        <v>0</v>
      </c>
    </row>
    <row r="10" spans="1:7" ht="16.05" customHeight="1" x14ac:dyDescent="0.3">
      <c r="A10" s="25" t="s">
        <v>1655</v>
      </c>
      <c r="B10" s="26" t="s">
        <v>1656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1657</v>
      </c>
      <c r="B11" s="19" t="s">
        <v>1658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1659</v>
      </c>
      <c r="B12" s="26" t="s">
        <v>1660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1661</v>
      </c>
      <c r="B13" s="19" t="s">
        <v>1662</v>
      </c>
      <c r="C13" s="20" t="s">
        <v>85</v>
      </c>
      <c r="D13" s="21"/>
      <c r="E13" s="22">
        <v>2</v>
      </c>
      <c r="F13" s="23">
        <v>2</v>
      </c>
      <c r="G13" s="24">
        <f t="shared" si="0"/>
        <v>0</v>
      </c>
    </row>
    <row r="14" spans="1:7" ht="16.05" customHeight="1" x14ac:dyDescent="0.3">
      <c r="A14" s="25" t="s">
        <v>1663</v>
      </c>
      <c r="B14" s="26" t="s">
        <v>1664</v>
      </c>
      <c r="C14" s="20" t="s">
        <v>85</v>
      </c>
      <c r="D14" s="21"/>
      <c r="E14" s="22">
        <v>2</v>
      </c>
      <c r="F14" s="23">
        <v>2</v>
      </c>
      <c r="G14" s="24">
        <f t="shared" si="0"/>
        <v>0</v>
      </c>
    </row>
    <row r="15" spans="1:7" ht="16.05" customHeight="1" x14ac:dyDescent="0.3">
      <c r="A15" s="18" t="s">
        <v>1665</v>
      </c>
      <c r="B15" s="19" t="s">
        <v>109</v>
      </c>
      <c r="C15" s="20" t="s">
        <v>85</v>
      </c>
      <c r="D15" s="21"/>
      <c r="E15" s="22">
        <v>2</v>
      </c>
      <c r="F15" s="23">
        <v>2</v>
      </c>
      <c r="G15" s="24">
        <f t="shared" si="0"/>
        <v>0</v>
      </c>
    </row>
    <row r="16" spans="1:7" ht="16.05" customHeight="1" x14ac:dyDescent="0.3">
      <c r="A16" s="25" t="s">
        <v>1666</v>
      </c>
      <c r="B16" s="26" t="s">
        <v>1667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1668</v>
      </c>
      <c r="B17" s="19" t="s">
        <v>1669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1670</v>
      </c>
      <c r="B18" s="26" t="s">
        <v>1671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1672</v>
      </c>
      <c r="B19" s="19" t="s">
        <v>1673</v>
      </c>
      <c r="C19" s="20" t="s">
        <v>85</v>
      </c>
      <c r="D19" s="21"/>
      <c r="E19" s="22">
        <v>2</v>
      </c>
      <c r="F19" s="23">
        <v>2</v>
      </c>
      <c r="G19" s="24">
        <f t="shared" si="0"/>
        <v>0</v>
      </c>
    </row>
    <row r="20" spans="1:7" ht="16.05" customHeight="1" x14ac:dyDescent="0.3">
      <c r="A20" s="25" t="s">
        <v>1674</v>
      </c>
      <c r="B20" s="26" t="s">
        <v>1675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1676</v>
      </c>
      <c r="B21" s="19" t="s">
        <v>1677</v>
      </c>
      <c r="C21" s="20" t="s">
        <v>85</v>
      </c>
      <c r="D21" s="21"/>
      <c r="E21" s="22">
        <v>2</v>
      </c>
      <c r="F21" s="23">
        <v>2</v>
      </c>
      <c r="G21" s="24">
        <f t="shared" si="0"/>
        <v>0</v>
      </c>
    </row>
    <row r="22" spans="1:7" ht="16.05" customHeight="1" x14ac:dyDescent="0.3">
      <c r="A22" s="25" t="s">
        <v>1678</v>
      </c>
      <c r="B22" s="26" t="s">
        <v>1679</v>
      </c>
      <c r="C22" s="20" t="s">
        <v>85</v>
      </c>
      <c r="D22" s="21"/>
      <c r="E22" s="22">
        <v>2</v>
      </c>
      <c r="F22" s="23">
        <v>2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22"/>
  <sheetViews>
    <sheetView workbookViewId="0">
      <pane ySplit="2" topLeftCell="A3" activePane="bottomLeft" state="frozen"/>
      <selection pane="bottomLeft" activeCell="F10" sqref="F10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3" t="s">
        <v>51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1680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1681</v>
      </c>
      <c r="B4" s="26" t="s">
        <v>1682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1683</v>
      </c>
      <c r="B5" s="19" t="s">
        <v>1684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1685</v>
      </c>
      <c r="B6" s="26" t="s">
        <v>1686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1687</v>
      </c>
      <c r="B7" s="19" t="s">
        <v>1688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1689</v>
      </c>
      <c r="B8" s="26" t="s">
        <v>1690</v>
      </c>
      <c r="C8" s="20" t="s">
        <v>85</v>
      </c>
      <c r="D8" s="21"/>
      <c r="E8" s="22">
        <v>3</v>
      </c>
      <c r="F8" s="23">
        <v>3</v>
      </c>
      <c r="G8" s="24">
        <f t="shared" si="0"/>
        <v>0</v>
      </c>
    </row>
    <row r="9" spans="1:7" ht="16.05" customHeight="1" x14ac:dyDescent="0.3">
      <c r="A9" s="18" t="s">
        <v>1691</v>
      </c>
      <c r="B9" s="19" t="s">
        <v>1692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1693</v>
      </c>
      <c r="B10" s="26" t="s">
        <v>1694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1695</v>
      </c>
      <c r="B11" s="19" t="s">
        <v>1696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1697</v>
      </c>
      <c r="B12" s="26" t="s">
        <v>1698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1699</v>
      </c>
      <c r="B13" s="19" t="s">
        <v>1700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1701</v>
      </c>
      <c r="B14" s="26" t="s">
        <v>1702</v>
      </c>
      <c r="C14" s="20" t="s">
        <v>85</v>
      </c>
      <c r="D14" s="21"/>
      <c r="E14" s="22">
        <v>2</v>
      </c>
      <c r="F14" s="23">
        <v>2</v>
      </c>
      <c r="G14" s="24">
        <f t="shared" si="0"/>
        <v>0</v>
      </c>
    </row>
    <row r="15" spans="1:7" ht="16.05" customHeight="1" x14ac:dyDescent="0.3">
      <c r="A15" s="18" t="s">
        <v>1703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1704</v>
      </c>
      <c r="B16" s="26" t="s">
        <v>1705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1706</v>
      </c>
      <c r="B17" s="19" t="s">
        <v>1707</v>
      </c>
      <c r="C17" s="20" t="s">
        <v>85</v>
      </c>
      <c r="D17" s="21"/>
      <c r="E17" s="22">
        <v>2</v>
      </c>
      <c r="F17" s="23">
        <v>2</v>
      </c>
      <c r="G17" s="24">
        <f t="shared" si="0"/>
        <v>0</v>
      </c>
    </row>
    <row r="18" spans="1:7" ht="16.05" customHeight="1" x14ac:dyDescent="0.3">
      <c r="A18" s="25" t="s">
        <v>1708</v>
      </c>
      <c r="B18" s="26" t="s">
        <v>1709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1710</v>
      </c>
      <c r="B19" s="19" t="s">
        <v>1711</v>
      </c>
      <c r="C19" s="20" t="s">
        <v>85</v>
      </c>
      <c r="D19" s="21"/>
      <c r="E19" s="22">
        <v>2</v>
      </c>
      <c r="F19" s="23">
        <v>2</v>
      </c>
      <c r="G19" s="24">
        <f t="shared" si="0"/>
        <v>0</v>
      </c>
    </row>
    <row r="20" spans="1:7" ht="16.05" customHeight="1" x14ac:dyDescent="0.3">
      <c r="A20" s="25" t="s">
        <v>1712</v>
      </c>
      <c r="B20" s="26" t="s">
        <v>1713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1714</v>
      </c>
      <c r="B21" s="26" t="s">
        <v>1716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1715</v>
      </c>
      <c r="B22" s="26" t="s">
        <v>1991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22"/>
  <sheetViews>
    <sheetView workbookViewId="0">
      <pane ySplit="2" topLeftCell="A3" activePane="bottomLeft" state="frozen"/>
      <selection pane="bottomLeft" activeCell="F22" sqref="F22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4" t="s">
        <v>52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1717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1718</v>
      </c>
      <c r="B4" s="26" t="s">
        <v>1719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1720</v>
      </c>
      <c r="B5" s="19" t="s">
        <v>1721</v>
      </c>
      <c r="C5" s="20" t="s">
        <v>85</v>
      </c>
      <c r="D5" s="21"/>
      <c r="E5" s="22">
        <v>2</v>
      </c>
      <c r="F5" s="23">
        <v>2</v>
      </c>
      <c r="G5" s="24">
        <f t="shared" si="0"/>
        <v>0</v>
      </c>
    </row>
    <row r="6" spans="1:7" ht="16.05" customHeight="1" x14ac:dyDescent="0.3">
      <c r="A6" s="25" t="s">
        <v>1722</v>
      </c>
      <c r="B6" s="26" t="s">
        <v>1723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1724</v>
      </c>
      <c r="B7" s="19" t="s">
        <v>1725</v>
      </c>
      <c r="C7" s="20" t="s">
        <v>85</v>
      </c>
      <c r="D7" s="21"/>
      <c r="E7" s="22">
        <v>3</v>
      </c>
      <c r="F7" s="23">
        <v>3</v>
      </c>
      <c r="G7" s="24">
        <f t="shared" si="0"/>
        <v>0</v>
      </c>
    </row>
    <row r="8" spans="1:7" ht="16.05" customHeight="1" x14ac:dyDescent="0.3">
      <c r="A8" s="25" t="s">
        <v>1726</v>
      </c>
      <c r="B8" s="26" t="s">
        <v>1727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1728</v>
      </c>
      <c r="B9" s="19" t="s">
        <v>1729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1730</v>
      </c>
      <c r="B10" s="26" t="s">
        <v>1731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1732</v>
      </c>
      <c r="B11" s="19" t="s">
        <v>1733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1734</v>
      </c>
      <c r="B12" s="26" t="s">
        <v>1735</v>
      </c>
      <c r="C12" s="20" t="s">
        <v>85</v>
      </c>
      <c r="D12" s="21"/>
      <c r="E12" s="22">
        <v>2</v>
      </c>
      <c r="F12" s="23">
        <v>2</v>
      </c>
      <c r="G12" s="24">
        <f t="shared" si="0"/>
        <v>0</v>
      </c>
    </row>
    <row r="13" spans="1:7" ht="16.05" customHeight="1" x14ac:dyDescent="0.3">
      <c r="A13" s="18" t="s">
        <v>1736</v>
      </c>
      <c r="B13" s="19" t="s">
        <v>1737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1738</v>
      </c>
      <c r="B14" s="26" t="s">
        <v>1739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1740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1741</v>
      </c>
      <c r="B16" s="26" t="s">
        <v>1742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1743</v>
      </c>
      <c r="B17" s="19" t="s">
        <v>1744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1745</v>
      </c>
      <c r="B18" s="26" t="s">
        <v>1746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1747</v>
      </c>
      <c r="B19" s="19" t="s">
        <v>1748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1749</v>
      </c>
      <c r="B20" s="26" t="s">
        <v>1996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1750</v>
      </c>
      <c r="B21" s="19" t="s">
        <v>1751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1752</v>
      </c>
      <c r="B22" s="26" t="s">
        <v>1753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22"/>
  <sheetViews>
    <sheetView workbookViewId="0">
      <pane ySplit="2" topLeftCell="A3" activePane="bottomLeft" state="frozen"/>
      <selection pane="bottomLeft" activeCell="F16" sqref="F1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5" t="s">
        <v>53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1754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1755</v>
      </c>
      <c r="B4" s="26" t="s">
        <v>1756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1757</v>
      </c>
      <c r="B5" s="19" t="s">
        <v>1758</v>
      </c>
      <c r="C5" s="20" t="s">
        <v>85</v>
      </c>
      <c r="D5" s="21"/>
      <c r="E5" s="22">
        <v>2</v>
      </c>
      <c r="F5" s="23">
        <v>2</v>
      </c>
      <c r="G5" s="24">
        <f t="shared" si="0"/>
        <v>0</v>
      </c>
    </row>
    <row r="6" spans="1:7" ht="16.05" customHeight="1" x14ac:dyDescent="0.3">
      <c r="A6" s="25" t="s">
        <v>1759</v>
      </c>
      <c r="B6" s="26" t="s">
        <v>1760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1761</v>
      </c>
      <c r="B7" s="19" t="s">
        <v>1762</v>
      </c>
      <c r="C7" s="20" t="s">
        <v>85</v>
      </c>
      <c r="D7" s="21"/>
      <c r="E7" s="22">
        <v>2</v>
      </c>
      <c r="F7" s="23">
        <v>2</v>
      </c>
      <c r="G7" s="24">
        <f t="shared" si="0"/>
        <v>0</v>
      </c>
    </row>
    <row r="8" spans="1:7" ht="16.05" customHeight="1" x14ac:dyDescent="0.3">
      <c r="A8" s="25" t="s">
        <v>1763</v>
      </c>
      <c r="B8" s="26" t="s">
        <v>1764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1765</v>
      </c>
      <c r="B9" s="19" t="s">
        <v>1766</v>
      </c>
      <c r="C9" s="20" t="s">
        <v>85</v>
      </c>
      <c r="D9" s="21"/>
      <c r="E9" s="22">
        <v>2</v>
      </c>
      <c r="F9" s="23">
        <v>2</v>
      </c>
      <c r="G9" s="24">
        <f t="shared" si="0"/>
        <v>0</v>
      </c>
    </row>
    <row r="10" spans="1:7" ht="16.05" customHeight="1" x14ac:dyDescent="0.3">
      <c r="A10" s="25" t="s">
        <v>1767</v>
      </c>
      <c r="B10" s="26" t="s">
        <v>1768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1769</v>
      </c>
      <c r="B11" s="19" t="s">
        <v>1770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1771</v>
      </c>
      <c r="B12" s="26" t="s">
        <v>1772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1773</v>
      </c>
      <c r="B13" s="19" t="s">
        <v>1774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1775</v>
      </c>
      <c r="B14" s="26" t="s">
        <v>1776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1777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1778</v>
      </c>
      <c r="B16" s="26" t="s">
        <v>1779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1780</v>
      </c>
      <c r="B17" s="19" t="s">
        <v>1781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1782</v>
      </c>
      <c r="B18" s="26" t="s">
        <v>1783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1784</v>
      </c>
      <c r="B19" s="19" t="s">
        <v>1785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1786</v>
      </c>
      <c r="B20" s="26" t="s">
        <v>1787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1788</v>
      </c>
      <c r="B21" s="19" t="s">
        <v>1789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1790</v>
      </c>
      <c r="B22" s="26" t="s">
        <v>1791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22"/>
  <sheetViews>
    <sheetView workbookViewId="0">
      <pane ySplit="2" topLeftCell="A3" activePane="bottomLeft" state="frozen"/>
      <selection pane="bottomLeft" activeCell="F17" sqref="F17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1" t="s">
        <v>54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1792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1793</v>
      </c>
      <c r="B4" s="26" t="s">
        <v>1794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1795</v>
      </c>
      <c r="B5" s="19" t="s">
        <v>1796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1797</v>
      </c>
      <c r="B6" s="26" t="s">
        <v>1798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1799</v>
      </c>
      <c r="B7" s="19" t="s">
        <v>1800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1801</v>
      </c>
      <c r="B8" s="26" t="s">
        <v>1802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1803</v>
      </c>
      <c r="B9" s="19" t="s">
        <v>1804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1805</v>
      </c>
      <c r="B10" s="26" t="s">
        <v>1806</v>
      </c>
      <c r="C10" s="20" t="s">
        <v>85</v>
      </c>
      <c r="D10" s="21"/>
      <c r="E10" s="22">
        <v>2</v>
      </c>
      <c r="F10" s="23">
        <v>2</v>
      </c>
      <c r="G10" s="24">
        <f t="shared" si="0"/>
        <v>0</v>
      </c>
    </row>
    <row r="11" spans="1:7" ht="16.05" customHeight="1" x14ac:dyDescent="0.3">
      <c r="A11" s="18" t="s">
        <v>1807</v>
      </c>
      <c r="B11" s="19" t="s">
        <v>1808</v>
      </c>
      <c r="C11" s="20" t="s">
        <v>85</v>
      </c>
      <c r="D11" s="21"/>
      <c r="E11" s="22">
        <v>2</v>
      </c>
      <c r="F11" s="23">
        <v>2</v>
      </c>
      <c r="G11" s="24">
        <f t="shared" si="0"/>
        <v>0</v>
      </c>
    </row>
    <row r="12" spans="1:7" ht="16.05" customHeight="1" x14ac:dyDescent="0.3">
      <c r="A12" s="25" t="s">
        <v>1809</v>
      </c>
      <c r="B12" s="26" t="s">
        <v>1810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1811</v>
      </c>
      <c r="B13" s="19" t="s">
        <v>1812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1813</v>
      </c>
      <c r="B14" s="26" t="s">
        <v>1814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1815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1816</v>
      </c>
      <c r="B16" s="26" t="s">
        <v>1817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1818</v>
      </c>
      <c r="B17" s="19" t="s">
        <v>1819</v>
      </c>
      <c r="C17" s="20" t="s">
        <v>85</v>
      </c>
      <c r="D17" s="21"/>
      <c r="E17" s="22">
        <v>3</v>
      </c>
      <c r="F17" s="23">
        <v>3</v>
      </c>
      <c r="G17" s="24">
        <f t="shared" si="0"/>
        <v>0</v>
      </c>
    </row>
    <row r="18" spans="1:7" ht="16.05" customHeight="1" x14ac:dyDescent="0.3">
      <c r="A18" s="25" t="s">
        <v>1820</v>
      </c>
      <c r="B18" s="26" t="s">
        <v>1821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1822</v>
      </c>
      <c r="B19" s="19" t="s">
        <v>1823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1824</v>
      </c>
      <c r="B20" s="26" t="s">
        <v>1825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1826</v>
      </c>
      <c r="B21" s="19" t="s">
        <v>1827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1828</v>
      </c>
      <c r="B22" s="26" t="s">
        <v>1829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22"/>
  <sheetViews>
    <sheetView workbookViewId="0">
      <pane ySplit="2" topLeftCell="A3" activePane="bottomLeft" state="frozen"/>
      <selection pane="bottomLeft" activeCell="F20" sqref="F20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6" t="s">
        <v>55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1830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1831</v>
      </c>
      <c r="B4" s="26" t="s">
        <v>1832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1833</v>
      </c>
      <c r="B5" s="19" t="s">
        <v>1834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1835</v>
      </c>
      <c r="B6" s="26" t="s">
        <v>1836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1837</v>
      </c>
      <c r="B7" s="19" t="s">
        <v>1838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1839</v>
      </c>
      <c r="B8" s="26" t="s">
        <v>1840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1841</v>
      </c>
      <c r="B9" s="19" t="s">
        <v>1842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1843</v>
      </c>
      <c r="B10" s="26" t="s">
        <v>1844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1845</v>
      </c>
      <c r="B11" s="19" t="s">
        <v>1846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1847</v>
      </c>
      <c r="B12" s="26" t="s">
        <v>1848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1849</v>
      </c>
      <c r="B13" s="19" t="s">
        <v>1850</v>
      </c>
      <c r="C13" s="20" t="s">
        <v>85</v>
      </c>
      <c r="D13" s="21"/>
      <c r="E13" s="22">
        <v>2</v>
      </c>
      <c r="F13" s="23">
        <v>2</v>
      </c>
      <c r="G13" s="24">
        <f t="shared" si="0"/>
        <v>0</v>
      </c>
    </row>
    <row r="14" spans="1:7" ht="16.05" customHeight="1" x14ac:dyDescent="0.3">
      <c r="A14" s="25" t="s">
        <v>1851</v>
      </c>
      <c r="B14" s="26" t="s">
        <v>1852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1853</v>
      </c>
      <c r="B15" s="19" t="s">
        <v>109</v>
      </c>
      <c r="C15" s="20" t="s">
        <v>85</v>
      </c>
      <c r="D15" s="21"/>
      <c r="E15" s="22">
        <v>2</v>
      </c>
      <c r="F15" s="23">
        <v>2</v>
      </c>
      <c r="G15" s="24">
        <f t="shared" si="0"/>
        <v>0</v>
      </c>
    </row>
    <row r="16" spans="1:7" ht="16.05" customHeight="1" x14ac:dyDescent="0.3">
      <c r="A16" s="25" t="s">
        <v>1854</v>
      </c>
      <c r="B16" s="26" t="s">
        <v>1855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1856</v>
      </c>
      <c r="B17" s="19" t="s">
        <v>1857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1858</v>
      </c>
      <c r="B18" s="26" t="s">
        <v>1859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1860</v>
      </c>
      <c r="B19" s="19" t="s">
        <v>1861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1862</v>
      </c>
      <c r="B20" s="26" t="s">
        <v>1863</v>
      </c>
      <c r="C20" s="20" t="s">
        <v>85</v>
      </c>
      <c r="D20" s="21"/>
      <c r="E20" s="22">
        <v>2</v>
      </c>
      <c r="F20" s="23">
        <v>2</v>
      </c>
      <c r="G20" s="24">
        <f t="shared" si="0"/>
        <v>0</v>
      </c>
    </row>
    <row r="21" spans="1:7" ht="16.05" customHeight="1" x14ac:dyDescent="0.3">
      <c r="A21" s="18" t="s">
        <v>1864</v>
      </c>
      <c r="B21" s="19" t="s">
        <v>1865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1866</v>
      </c>
      <c r="B22" s="26" t="s">
        <v>1867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22"/>
  <sheetViews>
    <sheetView workbookViewId="0">
      <pane ySplit="2" topLeftCell="A3" activePane="bottomLeft" state="frozen"/>
      <selection pane="bottomLeft" activeCell="F16" sqref="F1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7" t="s">
        <v>56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1868</v>
      </c>
      <c r="B3" s="19" t="s">
        <v>84</v>
      </c>
      <c r="C3" s="20" t="s">
        <v>85</v>
      </c>
      <c r="D3" s="21"/>
      <c r="E3" s="22">
        <v>2</v>
      </c>
      <c r="F3" s="23">
        <v>2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1869</v>
      </c>
      <c r="B4" s="26" t="s">
        <v>1870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1871</v>
      </c>
      <c r="B5" s="19" t="s">
        <v>1872</v>
      </c>
      <c r="C5" s="20" t="s">
        <v>85</v>
      </c>
      <c r="D5" s="21"/>
      <c r="E5" s="22">
        <v>2</v>
      </c>
      <c r="F5" s="23">
        <v>2</v>
      </c>
      <c r="G5" s="24">
        <f t="shared" si="0"/>
        <v>0</v>
      </c>
    </row>
    <row r="6" spans="1:7" ht="16.05" customHeight="1" x14ac:dyDescent="0.3">
      <c r="A6" s="25" t="s">
        <v>1873</v>
      </c>
      <c r="B6" s="26" t="s">
        <v>1874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1875</v>
      </c>
      <c r="B7" s="19" t="s">
        <v>1876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1877</v>
      </c>
      <c r="B8" s="26" t="s">
        <v>1878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1879</v>
      </c>
      <c r="B9" s="19" t="s">
        <v>1880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1881</v>
      </c>
      <c r="B10" s="26" t="s">
        <v>1882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1883</v>
      </c>
      <c r="B11" s="19" t="s">
        <v>1884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1885</v>
      </c>
      <c r="B12" s="26" t="s">
        <v>1994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1886</v>
      </c>
      <c r="B13" s="19" t="s">
        <v>1887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1888</v>
      </c>
      <c r="B14" s="26" t="s">
        <v>1889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1890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1891</v>
      </c>
      <c r="B16" s="26" t="s">
        <v>1892</v>
      </c>
      <c r="C16" s="20" t="s">
        <v>85</v>
      </c>
      <c r="D16" s="21"/>
      <c r="E16" s="22">
        <v>2</v>
      </c>
      <c r="F16" s="23">
        <v>2</v>
      </c>
      <c r="G16" s="24">
        <f t="shared" si="0"/>
        <v>0</v>
      </c>
    </row>
    <row r="17" spans="1:7" ht="16.05" customHeight="1" x14ac:dyDescent="0.3">
      <c r="A17" s="18" t="s">
        <v>1893</v>
      </c>
      <c r="B17" s="19" t="s">
        <v>1894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1895</v>
      </c>
      <c r="B18" s="26" t="s">
        <v>1896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1897</v>
      </c>
      <c r="B19" s="19" t="s">
        <v>1898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1899</v>
      </c>
      <c r="B20" s="26" t="s">
        <v>1900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1901</v>
      </c>
      <c r="B21" s="19" t="s">
        <v>1902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1903</v>
      </c>
      <c r="B22" s="26" t="s">
        <v>1904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13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8" t="s">
        <v>57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1905</v>
      </c>
      <c r="B3" s="19" t="s">
        <v>1906</v>
      </c>
      <c r="C3" s="20" t="s">
        <v>85</v>
      </c>
      <c r="D3" s="21"/>
      <c r="E3" s="22">
        <v>2</v>
      </c>
      <c r="F3" s="23">
        <v>2</v>
      </c>
      <c r="G3" s="24">
        <f t="shared" ref="G3:G13" si="0">MAX(0,IF(E3="",0,E3)-IF(F3="",0,F3))</f>
        <v>0</v>
      </c>
    </row>
    <row r="4" spans="1:7" ht="16.05" customHeight="1" x14ac:dyDescent="0.3">
      <c r="A4" s="25" t="s">
        <v>1907</v>
      </c>
      <c r="B4" s="26" t="s">
        <v>1908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1909</v>
      </c>
      <c r="B5" s="19" t="s">
        <v>1910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1911</v>
      </c>
      <c r="B6" s="26" t="s">
        <v>1912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1913</v>
      </c>
      <c r="B7" s="19" t="s">
        <v>1914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1915</v>
      </c>
      <c r="B8" s="26" t="s">
        <v>1916</v>
      </c>
      <c r="C8" s="20" t="s">
        <v>85</v>
      </c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1917</v>
      </c>
      <c r="B9" s="19" t="s">
        <v>1918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1919</v>
      </c>
      <c r="B10" s="26" t="s">
        <v>1920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1921</v>
      </c>
      <c r="B11" s="19" t="s">
        <v>1922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1923</v>
      </c>
      <c r="B12" s="26" t="s">
        <v>1924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1925</v>
      </c>
      <c r="B13" s="19" t="s">
        <v>1926</v>
      </c>
      <c r="C13" s="20" t="s">
        <v>85</v>
      </c>
      <c r="D13" s="21"/>
      <c r="E13" s="22">
        <v>2</v>
      </c>
      <c r="F13" s="23">
        <v>2</v>
      </c>
      <c r="G13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22"/>
  <sheetViews>
    <sheetView workbookViewId="0">
      <pane ySplit="2" topLeftCell="A3" activePane="bottomLeft" state="frozen"/>
      <selection pane="bottomLeft" activeCell="L15" sqref="L1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9" t="s">
        <v>58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1927</v>
      </c>
      <c r="B3" s="19" t="s">
        <v>1928</v>
      </c>
      <c r="C3" s="20"/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1929</v>
      </c>
      <c r="B4" s="26" t="s">
        <v>1930</v>
      </c>
      <c r="C4" s="20"/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1931</v>
      </c>
      <c r="B5" s="19" t="s">
        <v>1932</v>
      </c>
      <c r="C5" s="20"/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1933</v>
      </c>
      <c r="B6" s="26" t="s">
        <v>1934</v>
      </c>
      <c r="C6" s="20"/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1935</v>
      </c>
      <c r="B7" s="19" t="s">
        <v>1936</v>
      </c>
      <c r="C7" s="20"/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1937</v>
      </c>
      <c r="B8" s="26" t="s">
        <v>1938</v>
      </c>
      <c r="C8" s="20"/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1939</v>
      </c>
      <c r="B9" s="19" t="s">
        <v>1940</v>
      </c>
      <c r="C9" s="20"/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1941</v>
      </c>
      <c r="B10" s="26" t="s">
        <v>1942</v>
      </c>
      <c r="C10" s="20"/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1943</v>
      </c>
      <c r="B11" s="19" t="s">
        <v>1944</v>
      </c>
      <c r="C11" s="20"/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1945</v>
      </c>
      <c r="B12" s="26" t="s">
        <v>1946</v>
      </c>
      <c r="C12" s="20"/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1947</v>
      </c>
      <c r="B13" s="19" t="s">
        <v>1948</v>
      </c>
      <c r="C13" s="20"/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1949</v>
      </c>
      <c r="B14" s="26" t="s">
        <v>1950</v>
      </c>
      <c r="C14" s="20"/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1951</v>
      </c>
      <c r="B15" s="19" t="s">
        <v>1952</v>
      </c>
      <c r="C15" s="20"/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1953</v>
      </c>
      <c r="B16" s="26" t="s">
        <v>1954</v>
      </c>
      <c r="C16" s="20"/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1955</v>
      </c>
      <c r="B17" s="19" t="s">
        <v>1956</v>
      </c>
      <c r="C17" s="20"/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1957</v>
      </c>
      <c r="B18" s="26" t="s">
        <v>1958</v>
      </c>
      <c r="C18" s="20"/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1959</v>
      </c>
      <c r="B19" s="19" t="s">
        <v>1960</v>
      </c>
      <c r="C19" s="20"/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1961</v>
      </c>
      <c r="B20" s="26" t="s">
        <v>1962</v>
      </c>
      <c r="C20" s="20"/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1963</v>
      </c>
      <c r="B21" s="19" t="s">
        <v>1964</v>
      </c>
      <c r="C21" s="20"/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1965</v>
      </c>
      <c r="B22" s="26" t="s">
        <v>1966</v>
      </c>
      <c r="C22" s="20"/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4"/>
  <sheetViews>
    <sheetView workbookViewId="0">
      <pane ySplit="2" topLeftCell="A3" activePane="bottomLeft" state="frozen"/>
      <selection pane="bottomLeft" activeCell="K13" sqref="K13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32" t="s">
        <v>59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1967</v>
      </c>
      <c r="B3" s="19" t="s">
        <v>1968</v>
      </c>
      <c r="C3" s="20" t="s">
        <v>85</v>
      </c>
      <c r="D3" s="21"/>
      <c r="E3" s="22">
        <v>1</v>
      </c>
      <c r="F3" s="23">
        <v>1</v>
      </c>
      <c r="G3" s="24">
        <f t="shared" ref="G3:G14" si="0">MAX(0,IF(E3="",0,E3)-IF(F3="",0,F3))</f>
        <v>0</v>
      </c>
    </row>
    <row r="4" spans="1:7" ht="16.05" customHeight="1" x14ac:dyDescent="0.3">
      <c r="A4" s="25" t="s">
        <v>1969</v>
      </c>
      <c r="B4" s="26" t="s">
        <v>1970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1971</v>
      </c>
      <c r="B5" s="19" t="s">
        <v>1972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1973</v>
      </c>
      <c r="B6" s="26" t="s">
        <v>1974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1975</v>
      </c>
      <c r="B7" s="19" t="s">
        <v>1976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1977</v>
      </c>
      <c r="B8" s="26" t="s">
        <v>1978</v>
      </c>
      <c r="C8" s="20" t="s">
        <v>85</v>
      </c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1979</v>
      </c>
      <c r="B9" s="19" t="s">
        <v>1980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1981</v>
      </c>
      <c r="B10" s="26" t="s">
        <v>1982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1983</v>
      </c>
      <c r="B11" s="19" t="s">
        <v>1984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1985</v>
      </c>
      <c r="B12" s="26" t="s">
        <v>1986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1987</v>
      </c>
      <c r="B13" s="19" t="s">
        <v>1988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1989</v>
      </c>
      <c r="B14" s="26" t="s">
        <v>1990</v>
      </c>
      <c r="C14" s="20" t="s">
        <v>85</v>
      </c>
      <c r="D14" s="21"/>
      <c r="E14" s="22"/>
      <c r="F14" s="23"/>
      <c r="G14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53</vt:i4>
      </vt:variant>
    </vt:vector>
  </HeadingPairs>
  <TitlesOfParts>
    <vt:vector size="53" baseType="lpstr">
      <vt:lpstr>RESUMEN</vt:lpstr>
      <vt:lpstr>INTRODUCCIÓN</vt:lpstr>
      <vt:lpstr>GRUPO A · México</vt:lpstr>
      <vt:lpstr>GRUPO A · South Africa</vt:lpstr>
      <vt:lpstr>GRUPO A · Korea Republic</vt:lpstr>
      <vt:lpstr>GRUPO A · Czechia</vt:lpstr>
      <vt:lpstr>GRUPO B · Canadá</vt:lpstr>
      <vt:lpstr>GRUPO B · Bosnia-Herzegovina</vt:lpstr>
      <vt:lpstr>GRUPO B · Qatar</vt:lpstr>
      <vt:lpstr>GRUPO B · Switzerland</vt:lpstr>
      <vt:lpstr>GRUPO C · Brazil</vt:lpstr>
      <vt:lpstr>GRUPO C · Morocco</vt:lpstr>
      <vt:lpstr>GRUPO C · Haiti</vt:lpstr>
      <vt:lpstr>GRUPO C · Scotland</vt:lpstr>
      <vt:lpstr>GRUPO D · USA</vt:lpstr>
      <vt:lpstr>GRUPO D · Paraguay</vt:lpstr>
      <vt:lpstr>GRUPO D · Australia</vt:lpstr>
      <vt:lpstr>GRUPO D · Türkiye</vt:lpstr>
      <vt:lpstr>GRUPO E · Germany</vt:lpstr>
      <vt:lpstr>GRUPO E · Curaçao</vt:lpstr>
      <vt:lpstr>GRUPO E · Cote dIvoire</vt:lpstr>
      <vt:lpstr>GRUPO E · Ecuador</vt:lpstr>
      <vt:lpstr>GRUPO F · Netherlands</vt:lpstr>
      <vt:lpstr>GRUPO F · Japan</vt:lpstr>
      <vt:lpstr>GRUPO F · Sweden</vt:lpstr>
      <vt:lpstr>GRUPO F · Tunisia</vt:lpstr>
      <vt:lpstr>GRUPO G · Belgium</vt:lpstr>
      <vt:lpstr>GRUPO G · Egypt</vt:lpstr>
      <vt:lpstr>GRUPO G · IR Iran</vt:lpstr>
      <vt:lpstr>GRUPO G · New Zealand</vt:lpstr>
      <vt:lpstr>GRUPO H · España</vt:lpstr>
      <vt:lpstr>GRUPO H · Cabo Verde</vt:lpstr>
      <vt:lpstr>GRUPO H · Saudi Arabia</vt:lpstr>
      <vt:lpstr>GRUPO H · Uruguay</vt:lpstr>
      <vt:lpstr>GRUPO I · France</vt:lpstr>
      <vt:lpstr>GRUPO I · Senegal</vt:lpstr>
      <vt:lpstr>GRUPO I · Iraq</vt:lpstr>
      <vt:lpstr>GRUPO I · Norway</vt:lpstr>
      <vt:lpstr>GRUPO J · Argentina</vt:lpstr>
      <vt:lpstr>GRUPO J · Algeria</vt:lpstr>
      <vt:lpstr>GRUPO J · Austria</vt:lpstr>
      <vt:lpstr>GRUPO J · Jordan</vt:lpstr>
      <vt:lpstr>GRUPO K · Portugal</vt:lpstr>
      <vt:lpstr>GRUPO K · Congo DR</vt:lpstr>
      <vt:lpstr>GRUPO K · Uzbekistan</vt:lpstr>
      <vt:lpstr>GRUPO K · Colombia</vt:lpstr>
      <vt:lpstr>GRUPO L · England</vt:lpstr>
      <vt:lpstr>GRUPO L · Croatia</vt:lpstr>
      <vt:lpstr>GRUPO L · Ghana</vt:lpstr>
      <vt:lpstr>GRUPO L · Panamá</vt:lpstr>
      <vt:lpstr>FIFA WORLD CUP HISTORY</vt:lpstr>
      <vt:lpstr>EXTRA STICKERS</vt:lpstr>
      <vt:lpstr>COCA COLA (Ed. España)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2026-06-07T07:06:56Z</dcterms:created>
  <dcterms:modified xsi:type="dcterms:W3CDTF">2026-08-31T13:32:03Z</dcterms:modified>
</cp:coreProperties>
</file>