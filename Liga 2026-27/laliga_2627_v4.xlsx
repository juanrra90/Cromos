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6-27\"/>
    </mc:Choice>
  </mc:AlternateContent>
  <xr:revisionPtr revIDLastSave="0" documentId="13_ncr:1_{057D026F-8E9C-43DE-8B5B-F1F960304140}" xr6:coauthVersionLast="47" xr6:coauthVersionMax="47" xr10:uidLastSave="{00000000-0000-0000-0000-000000000000}"/>
  <bookViews>
    <workbookView xWindow="-108" yWindow="-108" windowWidth="23256" windowHeight="12456" firstSheet="23" activeTab="27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11" i="1" s="1"/>
  <c r="G8" i="10"/>
  <c r="G7" i="10"/>
  <c r="G6" i="10"/>
  <c r="G5" i="10"/>
  <c r="G4" i="10"/>
  <c r="G3" i="10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E30" i="1" s="1"/>
  <c r="D3" i="1"/>
  <c r="C3" i="1"/>
  <c r="C30" i="1" s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7" i="1" s="1"/>
  <c r="F30" i="1" l="1"/>
  <c r="D30" i="1"/>
  <c r="G30" i="1"/>
</calcChain>
</file>

<file path=xl/sharedStrings.xml><?xml version="1.0" encoding="utf-8"?>
<sst xmlns="http://schemas.openxmlformats.org/spreadsheetml/2006/main" count="2159" uniqueCount="891">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</sst>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workbookViewId="0">
      <selection activeCell="J23" sqref="J23"/>
    </sheetView>
  </sheetViews>
  <sheetFormatPr defaultRowHeight="14.4" x14ac:dyDescent="0.3"/>
  <cols>
    <col min="1" max="1" width="30" customWidth="1"/>
    <col min="2" max="7" width="12" customWidth="1"/>
  </cols>
  <sheetData>
    <row r="1" spans="1:7" ht="30" customHeight="1" x14ac:dyDescent="0.3">
      <c r="A1" s="74" t="s">
        <v>55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2" t="s">
        <v>59</v>
      </c>
      <c r="B3" s="3">
        <v>23</v>
      </c>
      <c r="C3" s="4">
        <f>COUNTIF('D. ALAVÉS'!C3:C25,"")</f>
        <v>11</v>
      </c>
      <c r="D3" s="5">
        <f>COUNTIF('D. ALAVÉS'!D3:D25,"X")</f>
        <v>8</v>
      </c>
      <c r="E3" s="6">
        <f>SUMIF('D. ALAVÉS'!E3:E25,"&gt;"&amp;0,'D. ALAVÉS'!E3:E25)</f>
        <v>16</v>
      </c>
      <c r="F3" s="7">
        <f>SUM('D. ALAVÉS'!F3:F25)</f>
        <v>12</v>
      </c>
      <c r="G3" s="8">
        <f>SUM('D. ALAVÉS'!G3:G25)</f>
        <v>4</v>
      </c>
    </row>
    <row r="4" spans="1:7" ht="16.05" customHeight="1" x14ac:dyDescent="0.3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14</v>
      </c>
      <c r="G4" s="8">
        <f>SUM('ATHLETIC CLUB'!G3:G26)</f>
        <v>3</v>
      </c>
    </row>
    <row r="5" spans="1:7" ht="16.05" customHeight="1" x14ac:dyDescent="0.3">
      <c r="A5" s="2" t="s">
        <v>61</v>
      </c>
      <c r="B5" s="3">
        <v>24</v>
      </c>
      <c r="C5" s="4">
        <f>COUNTIF('ATLÉTICO DE MADRID'!C3:C26,"")</f>
        <v>9</v>
      </c>
      <c r="D5" s="5">
        <f>COUNTIF('ATLÉTICO DE MADRID'!D3:D26,"X")</f>
        <v>4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05" customHeight="1" x14ac:dyDescent="0.3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12</v>
      </c>
      <c r="G6" s="8">
        <f>SUM('FC BARCELONA'!G3:G24)</f>
        <v>1</v>
      </c>
    </row>
    <row r="7" spans="1:7" ht="16.05" customHeight="1" x14ac:dyDescent="0.3">
      <c r="A7" s="2" t="s">
        <v>0</v>
      </c>
      <c r="B7" s="3">
        <v>23</v>
      </c>
      <c r="C7" s="4">
        <f>COUNTIF('REAL BETIS'!C3:C25,"")</f>
        <v>7</v>
      </c>
      <c r="D7" s="5">
        <f>COUNTIF('REAL BETIS'!D3:D25,"X")</f>
        <v>5</v>
      </c>
      <c r="E7" s="6">
        <f>SUMIF('REAL BETIS'!E3:E25,"&gt;"&amp;0,'REAL BETIS'!E3:E25)</f>
        <v>13</v>
      </c>
      <c r="F7" s="7">
        <f>SUM('REAL BETIS'!F3:F25)</f>
        <v>11</v>
      </c>
      <c r="G7" s="8">
        <f>SUM('REAL BETIS'!G3:G25)</f>
        <v>2</v>
      </c>
    </row>
    <row r="8" spans="1:7" ht="16.05" customHeight="1" x14ac:dyDescent="0.3">
      <c r="A8" s="9" t="s">
        <v>63</v>
      </c>
      <c r="B8" s="10">
        <v>24</v>
      </c>
      <c r="C8" s="4">
        <f>COUNTIF('RC CELTA DE VIGO'!C3:C26,"")</f>
        <v>8</v>
      </c>
      <c r="D8" s="5">
        <f>COUNTIF('RC CELTA DE VIGO'!D3:D26,"X")</f>
        <v>3</v>
      </c>
      <c r="E8" s="6">
        <f>SUMIF('RC CELTA DE VIGO'!E3:E26,"&gt;"&amp;0,'RC CELTA DE VIGO'!E3:E26)</f>
        <v>11</v>
      </c>
      <c r="F8" s="7">
        <f>SUM('RC CELTA DE VIGO'!F3:F26)</f>
        <v>10</v>
      </c>
      <c r="G8" s="8">
        <f>SUM('RC CELTA DE VIGO'!G3:G26)</f>
        <v>1</v>
      </c>
    </row>
    <row r="9" spans="1:7" ht="16.05" customHeight="1" x14ac:dyDescent="0.3">
      <c r="A9" s="2" t="s">
        <v>64</v>
      </c>
      <c r="B9" s="3">
        <v>23</v>
      </c>
      <c r="C9" s="4">
        <f>COUNTIF('RC DEPORTIVO'!C3:C25,"")</f>
        <v>6</v>
      </c>
      <c r="D9" s="5">
        <f>COUNTIF('RC DEPORTIVO'!D3:D25,"X")</f>
        <v>3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05" customHeight="1" x14ac:dyDescent="0.3">
      <c r="A10" s="9" t="s">
        <v>65</v>
      </c>
      <c r="B10" s="10">
        <v>23</v>
      </c>
      <c r="C10" s="4">
        <f>COUNTIF('ELCHE CF'!C3:C25,"")</f>
        <v>8</v>
      </c>
      <c r="D10" s="5">
        <f>COUNTIF('ELCHE CF'!D3:D25,"X")</f>
        <v>3</v>
      </c>
      <c r="E10" s="6">
        <f>SUMIF('ELCHE CF'!E3:E25,"&gt;"&amp;0,'ELCHE CF'!E3:E25)</f>
        <v>14</v>
      </c>
      <c r="F10" s="7">
        <f>SUM('ELCHE CF'!F3:F25)</f>
        <v>13</v>
      </c>
      <c r="G10" s="8">
        <f>SUM('ELCHE CF'!G3:G25)</f>
        <v>1</v>
      </c>
    </row>
    <row r="11" spans="1:7" ht="16.05" customHeight="1" x14ac:dyDescent="0.3">
      <c r="A11" s="2" t="s">
        <v>66</v>
      </c>
      <c r="B11" s="3">
        <v>23</v>
      </c>
      <c r="C11" s="4">
        <f>COUNTIF('RCD ESPANYOL'!C3:C25,"")</f>
        <v>6</v>
      </c>
      <c r="D11" s="5">
        <f>COUNTIF('RCD ESPANYOL'!D3:D25,"X")</f>
        <v>4</v>
      </c>
      <c r="E11" s="6">
        <f>SUMIF('RCD ESPANYOL'!E3:E25,"&gt;"&amp;0,'RCD ESPANYOL'!E3:E25)</f>
        <v>18</v>
      </c>
      <c r="F11" s="7">
        <f>SUM('RCD ESPANYOL'!F3:F25)</f>
        <v>16</v>
      </c>
      <c r="G11" s="8">
        <f>SUM('RCD ESPANYOL'!G3:G25)</f>
        <v>2</v>
      </c>
    </row>
    <row r="12" spans="1:7" ht="16.05" customHeight="1" x14ac:dyDescent="0.3">
      <c r="A12" s="9" t="s">
        <v>67</v>
      </c>
      <c r="B12" s="10">
        <v>21</v>
      </c>
      <c r="C12" s="4">
        <f>COUNTIF('GETAFE CF'!C3:C23,"")</f>
        <v>8</v>
      </c>
      <c r="D12" s="5">
        <f>COUNTIF('GETAFE CF'!D3:D23,"X")</f>
        <v>6</v>
      </c>
      <c r="E12" s="6">
        <f>SUMIF('GETAFE CF'!E3:E23,"&gt;"&amp;0,'GETAFE CF'!E3:E23)</f>
        <v>9</v>
      </c>
      <c r="F12" s="7">
        <f>SUM('GETAFE CF'!F3:F23)</f>
        <v>8</v>
      </c>
      <c r="G12" s="8">
        <f>SUM('GETAFE CF'!G3:G23)</f>
        <v>1</v>
      </c>
    </row>
    <row r="13" spans="1:7" ht="16.05" customHeight="1" x14ac:dyDescent="0.3">
      <c r="A13" s="2" t="s">
        <v>68</v>
      </c>
      <c r="B13" s="3">
        <v>24</v>
      </c>
      <c r="C13" s="4">
        <f>COUNTIF('LEVANTE UD'!C3:C26,"")</f>
        <v>13</v>
      </c>
      <c r="D13" s="5">
        <f>COUNTIF('LEVANTE UD'!D3:D26,"X")</f>
        <v>8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05" customHeight="1" x14ac:dyDescent="0.3">
      <c r="A14" s="9" t="s">
        <v>69</v>
      </c>
      <c r="B14" s="10">
        <v>25</v>
      </c>
      <c r="C14" s="4">
        <f>COUNTIF('REAL MADRID CF'!C3:C27,"")</f>
        <v>8</v>
      </c>
      <c r="D14" s="5">
        <f>COUNTIF('REAL MADRID CF'!D3:D27,"X")</f>
        <v>3</v>
      </c>
      <c r="E14" s="6">
        <f>SUMIF('REAL MADRID CF'!E3:E27,"&gt;"&amp;0,'REAL MADRID CF'!E3:E27)</f>
        <v>29</v>
      </c>
      <c r="F14" s="7">
        <f>SUM('REAL MADRID CF'!F3:F27)</f>
        <v>28</v>
      </c>
      <c r="G14" s="8">
        <f>SUM('REAL MADRID CF'!G3:G27)</f>
        <v>1</v>
      </c>
    </row>
    <row r="15" spans="1:7" ht="16.05" customHeight="1" x14ac:dyDescent="0.3">
      <c r="A15" s="2" t="s">
        <v>70</v>
      </c>
      <c r="B15" s="3">
        <v>22</v>
      </c>
      <c r="C15" s="4">
        <f>COUNTIF('MÁLAGA CF'!C3:C24,"")</f>
        <v>6</v>
      </c>
      <c r="D15" s="5">
        <f>COUNTIF('MÁLAGA CF'!D3:D24,"X")</f>
        <v>4</v>
      </c>
      <c r="E15" s="6">
        <f>SUMIF('MÁLAGA CF'!E3:E24,"&gt;"&amp;0,'MÁLAGA CF'!E3:E24)</f>
        <v>20</v>
      </c>
      <c r="F15" s="7">
        <f>SUM('MÁLAGA CF'!F3:F24)</f>
        <v>16</v>
      </c>
      <c r="G15" s="8">
        <f>SUM('MÁLAGA CF'!G3:G24)</f>
        <v>4</v>
      </c>
    </row>
    <row r="16" spans="1:7" ht="16.05" customHeight="1" x14ac:dyDescent="0.3">
      <c r="A16" s="9" t="s">
        <v>71</v>
      </c>
      <c r="B16" s="10">
        <v>23</v>
      </c>
      <c r="C16" s="4">
        <f>COUNTIF('CA OSASUNA'!C3:C25,"")</f>
        <v>5</v>
      </c>
      <c r="D16" s="5">
        <f>COUNTIF('CA OSASUNA'!D3:D25,"X")</f>
        <v>2</v>
      </c>
      <c r="E16" s="6">
        <f>SUMIF('CA OSASUNA'!E3:E25,"&gt;"&amp;0,'CA OSASUNA'!E3:E25)</f>
        <v>14</v>
      </c>
      <c r="F16" s="7">
        <f>SUM('CA OSASUNA'!F3:F25)</f>
        <v>11</v>
      </c>
      <c r="G16" s="8">
        <f>SUM('CA OSASUNA'!G3:G25)</f>
        <v>3</v>
      </c>
    </row>
    <row r="17" spans="1:7" ht="16.05" customHeight="1" x14ac:dyDescent="0.3">
      <c r="A17" s="2" t="s">
        <v>72</v>
      </c>
      <c r="B17" s="3">
        <v>25</v>
      </c>
      <c r="C17" s="4">
        <f>COUNTIF('R. RACING CLUB'!C3:C27,"")</f>
        <v>10</v>
      </c>
      <c r="D17" s="5">
        <f>COUNTIF('R. RACING CLUB'!D3:D27,"X")</f>
        <v>5</v>
      </c>
      <c r="E17" s="6">
        <f>SUMIF('R. RACING CLUB'!E3:E27,"&gt;"&amp;0,'R. RACING CLUB'!E3:E27)</f>
        <v>18</v>
      </c>
      <c r="F17" s="7">
        <f>SUM('R. RACING CLUB'!F3:F27)</f>
        <v>17</v>
      </c>
      <c r="G17" s="8">
        <f>SUM('R. RACING CLUB'!G3:G27)</f>
        <v>1</v>
      </c>
    </row>
    <row r="18" spans="1:7" ht="16.05" customHeight="1" x14ac:dyDescent="0.3">
      <c r="A18" s="9" t="s">
        <v>73</v>
      </c>
      <c r="B18" s="10">
        <v>23</v>
      </c>
      <c r="C18" s="4">
        <f>COUNTIF('RAYO VALLECANO'!C3:C25,"")</f>
        <v>9</v>
      </c>
      <c r="D18" s="5">
        <f>COUNTIF('RAYO VALLECANO'!D3:D25,"X")</f>
        <v>6</v>
      </c>
      <c r="E18" s="6">
        <f>SUMIF('RAYO VALLECANO'!E3:E25,"&gt;"&amp;0,'RAYO VALLECANO'!E3:E25)</f>
        <v>13</v>
      </c>
      <c r="F18" s="7">
        <f>SUM('RAYO VALLECANO'!F3:F25)</f>
        <v>11</v>
      </c>
      <c r="G18" s="8">
        <f>SUM('RAYO VALLECANO'!G3:G25)</f>
        <v>2</v>
      </c>
    </row>
    <row r="19" spans="1:7" ht="16.05" customHeight="1" x14ac:dyDescent="0.3">
      <c r="A19" s="2" t="s">
        <v>74</v>
      </c>
      <c r="B19" s="3">
        <v>21</v>
      </c>
      <c r="C19" s="4">
        <f>COUNTIF('REAL SOCIEDAD'!C3:C23,"")</f>
        <v>4</v>
      </c>
      <c r="D19" s="5">
        <f>COUNTIF('REAL SOCIEDAD'!D3:D23,"X")</f>
        <v>3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05" customHeight="1" x14ac:dyDescent="0.3">
      <c r="A20" s="9" t="s">
        <v>75</v>
      </c>
      <c r="B20" s="10">
        <v>24</v>
      </c>
      <c r="C20" s="4">
        <f>COUNTIF('SEVILLA FC'!C3:C26,"")</f>
        <v>13</v>
      </c>
      <c r="D20" s="5">
        <f>COUNTIF('SEVILLA FC'!D3:D26,"X")</f>
        <v>7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05" customHeight="1" x14ac:dyDescent="0.3">
      <c r="A21" s="2" t="s">
        <v>76</v>
      </c>
      <c r="B21" s="3">
        <v>24</v>
      </c>
      <c r="C21" s="4">
        <f>COUNTIF('VALENCIA CF'!C3:C26,"")</f>
        <v>7</v>
      </c>
      <c r="D21" s="5">
        <f>COUNTIF('VALENCIA CF'!D3:D26,"X")</f>
        <v>4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05" customHeight="1" x14ac:dyDescent="0.3">
      <c r="A22" s="9" t="s">
        <v>77</v>
      </c>
      <c r="B22" s="10">
        <v>24</v>
      </c>
      <c r="C22" s="4">
        <f>COUNTIF('VILLARREAL CF'!C3:C26,"")</f>
        <v>8</v>
      </c>
      <c r="D22" s="5">
        <f>COUNTIF('VILLARREAL CF'!D3:D26,"X")</f>
        <v>3</v>
      </c>
      <c r="E22" s="6">
        <f>SUMIF('VILLARREAL CF'!E3:E26,"&gt;"&amp;0,'VILLARREAL CF'!E3:E26)</f>
        <v>13</v>
      </c>
      <c r="F22" s="7">
        <f>SUM('VILLARREAL CF'!F3:F26)</f>
        <v>10</v>
      </c>
      <c r="G22" s="8">
        <f>SUM('VILLARREAL CF'!G3:G26)</f>
        <v>3</v>
      </c>
    </row>
    <row r="23" spans="1:7" ht="16.05" customHeight="1" x14ac:dyDescent="0.3">
      <c r="A23" s="2" t="s">
        <v>78</v>
      </c>
      <c r="B23" s="3">
        <v>15</v>
      </c>
      <c r="C23" s="4">
        <f>COUNTIF('ADN - LALIGA PRIME'!C3:C17,"")</f>
        <v>3</v>
      </c>
      <c r="D23" s="5">
        <f>COUNTIF('ADN - LALIGA PRIME'!D3:D17,"X")</f>
        <v>3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05" customHeight="1" x14ac:dyDescent="0.3">
      <c r="A24" s="9" t="s">
        <v>79</v>
      </c>
      <c r="B24" s="10">
        <v>9</v>
      </c>
      <c r="C24" s="4">
        <f>COUNTIF('LALIGA FANTASY'!C3:C11,"")</f>
        <v>3</v>
      </c>
      <c r="D24" s="5">
        <f>COUNTIF('LALIGA FANTASY'!D3:D11,"X")</f>
        <v>3</v>
      </c>
      <c r="E24" s="6">
        <f>SUMIF('LALIGA FANTASY'!E3:E11,"&gt;"&amp;0,'LALIGA FANTASY'!E3:E11)</f>
        <v>4</v>
      </c>
      <c r="F24" s="7">
        <f>SUM('LALIGA FANTASY'!F3:F11)</f>
        <v>1</v>
      </c>
      <c r="G24" s="8">
        <f>SUM('LALIGA FANTASY'!G3:G11)</f>
        <v>3</v>
      </c>
    </row>
    <row r="25" spans="1:7" ht="16.05" customHeight="1" x14ac:dyDescent="0.3">
      <c r="A25" s="2" t="s">
        <v>80</v>
      </c>
      <c r="B25" s="3">
        <v>23</v>
      </c>
      <c r="C25" s="4">
        <f>COUNTIF('DRAFT 23'!C3:C25,"")</f>
        <v>1</v>
      </c>
      <c r="D25" s="5">
        <f>COUNTIF('DRAFT 23'!D3:D25,"X")</f>
        <v>1</v>
      </c>
      <c r="E25" s="6">
        <f>SUMIF('DRAFT 23'!E3:E25,"&gt;"&amp;0,'DRAFT 23'!E3:E25)</f>
        <v>10</v>
      </c>
      <c r="F25" s="7">
        <f>SUM('DRAFT 23'!F3:F25)</f>
        <v>9</v>
      </c>
      <c r="G25" s="8">
        <f>SUM('DRAFT 23'!G3:G25)</f>
        <v>1</v>
      </c>
    </row>
    <row r="26" spans="1:7" ht="16.05" customHeight="1" x14ac:dyDescent="0.3">
      <c r="A26" s="9" t="s">
        <v>81</v>
      </c>
      <c r="B26" s="10">
        <v>23</v>
      </c>
      <c r="C26" s="4">
        <f>COUNTIF('DRAFT 23 KROMIX'!C3:C25,"")</f>
        <v>2</v>
      </c>
      <c r="D26" s="5">
        <f>COUNTIF('DRAFT 23 KROMIX'!D3:D25,"X")</f>
        <v>2</v>
      </c>
      <c r="E26" s="6">
        <f>SUMIF('DRAFT 23 KROMIX'!E3:E25,"&gt;"&amp;0,'DRAFT 23 KROMIX'!E3:E25)</f>
        <v>5</v>
      </c>
      <c r="F26" s="7">
        <f>SUM('DRAFT 23 KROMIX'!F3:F25)</f>
        <v>2</v>
      </c>
      <c r="G26" s="8">
        <f>SUM('DRAFT 23 KROMIX'!G3:G25)</f>
        <v>3</v>
      </c>
    </row>
    <row r="27" spans="1:7" ht="16.05" customHeight="1" x14ac:dyDescent="0.3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05" customHeight="1" x14ac:dyDescent="0.3">
      <c r="A28" s="9" t="s">
        <v>83</v>
      </c>
      <c r="B28" s="10">
        <v>80</v>
      </c>
      <c r="C28" s="4">
        <f>COUNTIF('CHICLE LIGA 2627'!C3:C82,"")</f>
        <v>32</v>
      </c>
      <c r="D28" s="5">
        <f>COUNTIF('CHICLE LIGA 2627'!D3:D82,"X")</f>
        <v>12</v>
      </c>
      <c r="E28" s="6">
        <f>SUMIF('CHICLE LIGA 2627'!E3:E82,"&gt;"&amp;0,'CHICLE LIGA 2627'!E3:E82)</f>
        <v>35</v>
      </c>
      <c r="F28" s="7">
        <f>SUM('CHICLE LIGA 2627'!F3:F82)</f>
        <v>29</v>
      </c>
      <c r="G28" s="8">
        <f>SUM('CHICLE LIGA 2627'!G3:G82)</f>
        <v>6</v>
      </c>
    </row>
    <row r="29" spans="1:7" ht="16.05" customHeight="1" x14ac:dyDescent="0.3">
      <c r="A29" s="27" t="s">
        <v>84</v>
      </c>
      <c r="B29" s="28">
        <v>40</v>
      </c>
      <c r="C29" s="29">
        <f>COUNTIF('ÚLTIMOS FICHAJES'!C3:C42,"")</f>
        <v>37</v>
      </c>
      <c r="D29" s="30">
        <f>COUNTIF('ÚLTIMOS FICHAJES'!D3:D42,"X")</f>
        <v>37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3">
      <c r="A30" s="11" t="s">
        <v>85</v>
      </c>
      <c r="B30" s="12">
        <f t="shared" ref="B30:G30" si="0">SUM(B3:B29)</f>
        <v>670</v>
      </c>
      <c r="C30" s="13">
        <f t="shared" si="0"/>
        <v>245</v>
      </c>
      <c r="D30" s="14">
        <f t="shared" si="0"/>
        <v>141</v>
      </c>
      <c r="E30" s="15">
        <f t="shared" si="0"/>
        <v>361</v>
      </c>
      <c r="F30" s="16">
        <f t="shared" si="0"/>
        <v>319</v>
      </c>
      <c r="G30" s="17">
        <f t="shared" si="0"/>
        <v>42</v>
      </c>
    </row>
    <row r="31" spans="1:7" x14ac:dyDescent="0.3">
      <c r="A31" s="73"/>
      <c r="B31" s="73"/>
      <c r="C31" s="73"/>
      <c r="D31" s="73"/>
      <c r="E31" s="73"/>
      <c r="F31" s="73"/>
      <c r="G31" s="73"/>
    </row>
    <row r="32" spans="1:7" x14ac:dyDescent="0.3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5" activePane="bottomLeft" state="frozen"/>
      <selection pane="bottomLeft" activeCell="D25" sqref="D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59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87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89</v>
      </c>
      <c r="C6" s="60"/>
      <c r="D6" s="95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93</v>
      </c>
      <c r="C9" s="60"/>
      <c r="D9" s="61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95</v>
      </c>
      <c r="B11" s="59" t="s">
        <v>96</v>
      </c>
      <c r="C11" s="60"/>
      <c r="D11" s="95" t="s">
        <v>10</v>
      </c>
      <c r="E11" s="62"/>
      <c r="F11" s="63"/>
      <c r="G11" s="64">
        <f t="shared" si="0"/>
        <v>0</v>
      </c>
    </row>
    <row r="12" spans="1:7" ht="16.05" customHeight="1" x14ac:dyDescent="0.3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98</v>
      </c>
      <c r="C13" s="60"/>
      <c r="D13" s="95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99</v>
      </c>
      <c r="C14" s="60"/>
      <c r="D14" s="61" t="s">
        <v>10</v>
      </c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101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1</v>
      </c>
      <c r="G20" s="64">
        <f t="shared" si="0"/>
        <v>1</v>
      </c>
    </row>
    <row r="21" spans="1:7" ht="16.05" customHeight="1" x14ac:dyDescent="0.3">
      <c r="A21" s="58" t="s">
        <v>106</v>
      </c>
      <c r="B21" s="59" t="s">
        <v>54</v>
      </c>
      <c r="C21" s="60"/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51</v>
      </c>
      <c r="B23" s="59" t="s">
        <v>109</v>
      </c>
      <c r="C23" s="60"/>
      <c r="D23" s="61" t="s">
        <v>10</v>
      </c>
      <c r="E23" s="62">
        <v>2</v>
      </c>
      <c r="F23" s="63">
        <v>1</v>
      </c>
      <c r="G23" s="64">
        <f t="shared" si="0"/>
        <v>1</v>
      </c>
    </row>
    <row r="24" spans="1:7" ht="16.05" customHeight="1" x14ac:dyDescent="0.3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6" activePane="bottomLeft" state="frozen"/>
      <selection pane="bottomLeft" activeCell="F23" sqref="F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6" t="s">
        <v>60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05" customHeight="1" x14ac:dyDescent="0.3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05" customHeight="1" x14ac:dyDescent="0.3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05" customHeight="1" x14ac:dyDescent="0.3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05" customHeight="1" x14ac:dyDescent="0.3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05" customHeight="1" x14ac:dyDescent="0.3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05" customHeight="1" x14ac:dyDescent="0.3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05" customHeight="1" x14ac:dyDescent="0.3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05" customHeight="1" x14ac:dyDescent="0.3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05" customHeight="1" x14ac:dyDescent="0.3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05" customHeight="1" x14ac:dyDescent="0.3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05" customHeight="1" x14ac:dyDescent="0.3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05" customHeight="1" x14ac:dyDescent="0.3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05" customHeight="1" x14ac:dyDescent="0.3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05" customHeight="1" x14ac:dyDescent="0.3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05" customHeight="1" x14ac:dyDescent="0.3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05" customHeight="1" x14ac:dyDescent="0.3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05" customHeight="1" x14ac:dyDescent="0.3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05" customHeight="1" x14ac:dyDescent="0.3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05" customHeight="1" x14ac:dyDescent="0.3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05" customHeight="1" x14ac:dyDescent="0.3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05" customHeight="1" x14ac:dyDescent="0.3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05" customHeight="1" x14ac:dyDescent="0.3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/>
      <c r="G26" s="40">
        <f t="shared" si="0"/>
        <v>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5" activePane="bottomLeft" state="frozen"/>
      <selection pane="bottomLeft" activeCell="B25" sqref="B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6" t="s">
        <v>61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154</v>
      </c>
      <c r="B14" s="66" t="s">
        <v>155</v>
      </c>
      <c r="C14" s="60"/>
      <c r="D14" s="95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05" customHeight="1" x14ac:dyDescent="0.3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05" customHeight="1" x14ac:dyDescent="0.3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165</v>
      </c>
      <c r="B22" s="66" t="s">
        <v>166</v>
      </c>
      <c r="C22" s="60"/>
      <c r="D22" s="95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47</v>
      </c>
      <c r="B23" s="59" t="s">
        <v>167</v>
      </c>
      <c r="C23" s="60"/>
      <c r="D23" s="61" t="s">
        <v>10</v>
      </c>
      <c r="E23" s="62"/>
      <c r="F23" s="63"/>
      <c r="G23" s="64">
        <f t="shared" si="0"/>
        <v>0</v>
      </c>
    </row>
    <row r="24" spans="1:7" ht="16.05" customHeight="1" x14ac:dyDescent="0.3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51</v>
      </c>
      <c r="B25" s="96" t="s">
        <v>890</v>
      </c>
      <c r="C25" s="60"/>
      <c r="D25" s="95" t="s">
        <v>10</v>
      </c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5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7" t="s">
        <v>62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05" customHeight="1" x14ac:dyDescent="0.3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05" customHeight="1" x14ac:dyDescent="0.3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05" customHeight="1" x14ac:dyDescent="0.3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1</v>
      </c>
      <c r="G14" s="64">
        <f t="shared" si="0"/>
        <v>1</v>
      </c>
    </row>
    <row r="15" spans="1:7" ht="16.05" customHeight="1" x14ac:dyDescent="0.3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188</v>
      </c>
      <c r="B22" s="66" t="s">
        <v>189</v>
      </c>
      <c r="C22" s="60"/>
      <c r="D22" s="95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10" activePane="bottomLeft" state="frozen"/>
      <selection pane="bottomLeft" activeCell="D31" sqref="D3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2" t="s">
        <v>0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/>
      <c r="D3" s="61" t="s">
        <v>10</v>
      </c>
      <c r="E3" s="62"/>
      <c r="F3" s="63"/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16</v>
      </c>
      <c r="C6" s="60"/>
      <c r="D6" s="61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17</v>
      </c>
      <c r="B7" s="59" t="s">
        <v>18</v>
      </c>
      <c r="C7" s="60"/>
      <c r="D7" s="95" t="s">
        <v>10</v>
      </c>
      <c r="E7" s="62"/>
      <c r="F7" s="63"/>
      <c r="G7" s="64">
        <f t="shared" si="0"/>
        <v>0</v>
      </c>
    </row>
    <row r="8" spans="1:7" ht="16.05" customHeight="1" x14ac:dyDescent="0.3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05" customHeight="1" x14ac:dyDescent="0.3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35</v>
      </c>
      <c r="B16" s="66" t="s">
        <v>36</v>
      </c>
      <c r="C16" s="60"/>
      <c r="D16" s="95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39</v>
      </c>
      <c r="B18" s="66" t="s">
        <v>40</v>
      </c>
      <c r="C18" s="60"/>
      <c r="D18" s="61" t="s">
        <v>10</v>
      </c>
      <c r="E18" s="62">
        <v>2</v>
      </c>
      <c r="F18" s="63">
        <v>1</v>
      </c>
      <c r="G18" s="64">
        <f t="shared" si="0"/>
        <v>1</v>
      </c>
    </row>
    <row r="19" spans="1:7" ht="16.05" customHeight="1" x14ac:dyDescent="0.3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1</v>
      </c>
      <c r="G19" s="64">
        <f t="shared" si="0"/>
        <v>1</v>
      </c>
    </row>
    <row r="20" spans="1:7" ht="16.05" customHeight="1" x14ac:dyDescent="0.3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5" activePane="bottomLeft" state="frozen"/>
      <selection pane="bottomLeft" activeCell="D25" sqref="D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63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192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193</v>
      </c>
      <c r="C5" s="60"/>
      <c r="D5" s="61" t="s">
        <v>10</v>
      </c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195</v>
      </c>
      <c r="C7" s="60"/>
      <c r="D7" s="61" t="s">
        <v>10</v>
      </c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4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64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05" customHeight="1" x14ac:dyDescent="0.3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123</v>
      </c>
      <c r="B12" s="66" t="s">
        <v>226</v>
      </c>
      <c r="C12" s="60"/>
      <c r="D12" s="61" t="s">
        <v>10</v>
      </c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47</v>
      </c>
      <c r="B22" s="66" t="s">
        <v>236</v>
      </c>
      <c r="C22" s="60"/>
      <c r="D22" s="95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238</v>
      </c>
      <c r="C24" s="60"/>
      <c r="D24" s="61" t="s">
        <v>10</v>
      </c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3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65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05" customHeight="1" x14ac:dyDescent="0.3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05" customHeight="1" x14ac:dyDescent="0.3">
      <c r="A5" s="34" t="s">
        <v>241</v>
      </c>
      <c r="B5" s="50" t="s">
        <v>242</v>
      </c>
      <c r="C5" s="43"/>
      <c r="D5" s="47" t="s">
        <v>10</v>
      </c>
      <c r="E5" s="45"/>
      <c r="F5" s="46"/>
      <c r="G5" s="40">
        <f t="shared" si="0"/>
        <v>0</v>
      </c>
    </row>
    <row r="6" spans="1:7" ht="16.05" customHeight="1" x14ac:dyDescent="0.3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05" customHeight="1" x14ac:dyDescent="0.3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05" customHeight="1" x14ac:dyDescent="0.3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05" customHeight="1" x14ac:dyDescent="0.3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05" customHeight="1" x14ac:dyDescent="0.3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05" customHeight="1" x14ac:dyDescent="0.3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05" customHeight="1" x14ac:dyDescent="0.3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05" customHeight="1" x14ac:dyDescent="0.3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05" customHeight="1" x14ac:dyDescent="0.3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05" customHeight="1" x14ac:dyDescent="0.3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05" customHeight="1" x14ac:dyDescent="0.3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05" customHeight="1" x14ac:dyDescent="0.3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05" customHeight="1" x14ac:dyDescent="0.3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05" customHeight="1" x14ac:dyDescent="0.3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05" customHeight="1" x14ac:dyDescent="0.3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05" customHeight="1" x14ac:dyDescent="0.3">
      <c r="A21" s="34" t="s">
        <v>45</v>
      </c>
      <c r="B21" s="35" t="s">
        <v>260</v>
      </c>
      <c r="C21" s="54" t="s">
        <v>10</v>
      </c>
      <c r="D21" s="48"/>
      <c r="E21" s="55">
        <v>3</v>
      </c>
      <c r="F21" s="56">
        <v>2</v>
      </c>
      <c r="G21" s="40">
        <f t="shared" si="0"/>
        <v>1</v>
      </c>
    </row>
    <row r="22" spans="1:7" ht="16.05" customHeight="1" x14ac:dyDescent="0.3">
      <c r="A22" s="41" t="s">
        <v>47</v>
      </c>
      <c r="B22" s="51" t="s">
        <v>261</v>
      </c>
      <c r="C22" s="43"/>
      <c r="D22" s="44" t="s">
        <v>10</v>
      </c>
      <c r="E22" s="45"/>
      <c r="F22" s="46"/>
      <c r="G22" s="40">
        <f t="shared" si="0"/>
        <v>0</v>
      </c>
    </row>
    <row r="23" spans="1:7" ht="16.05" customHeight="1" x14ac:dyDescent="0.3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05" customHeight="1" x14ac:dyDescent="0.3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05" customHeight="1" x14ac:dyDescent="0.3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5" activePane="bottomLeft" state="frozen"/>
      <selection pane="bottomLeft" activeCell="D26" sqref="D2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66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271</v>
      </c>
      <c r="C9" s="60"/>
      <c r="D9" s="95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275</v>
      </c>
      <c r="B13" s="59" t="s">
        <v>276</v>
      </c>
      <c r="C13" s="60"/>
      <c r="D13" s="95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31</v>
      </c>
      <c r="B14" s="66" t="s">
        <v>277</v>
      </c>
      <c r="C14" s="60"/>
      <c r="D14" s="61" t="s">
        <v>10</v>
      </c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33</v>
      </c>
      <c r="B15" s="59" t="s">
        <v>278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05" customHeight="1" x14ac:dyDescent="0.3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D19" sqref="D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67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/>
      <c r="G3" s="64">
        <f t="shared" ref="G3:G23" si="0">MAX(0,IF(E3="",0,E3)-IF(F3="",0,F3))</f>
        <v>1</v>
      </c>
    </row>
    <row r="4" spans="1:7" ht="16.05" customHeight="1" x14ac:dyDescent="0.3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291</v>
      </c>
      <c r="C5" s="60"/>
      <c r="D5" s="61" t="s">
        <v>10</v>
      </c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29</v>
      </c>
      <c r="B11" s="59" t="s">
        <v>297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05" customHeight="1" x14ac:dyDescent="0.3">
      <c r="A16" s="65" t="s">
        <v>41</v>
      </c>
      <c r="B16" s="66" t="s">
        <v>302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05" customHeight="1" x14ac:dyDescent="0.3">
      <c r="A18" s="65" t="s">
        <v>45</v>
      </c>
      <c r="B18" s="66" t="s">
        <v>304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05" customHeight="1" x14ac:dyDescent="0.3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05" customHeight="1" x14ac:dyDescent="0.3">
      <c r="A22" s="65" t="s">
        <v>214</v>
      </c>
      <c r="B22" s="66" t="s">
        <v>308</v>
      </c>
      <c r="C22" s="60"/>
      <c r="D22" s="95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11" activePane="bottomLeft" state="frozen"/>
      <selection pane="bottomLeft" activeCell="D29" sqref="D2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68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/>
      <c r="D3" s="61" t="s">
        <v>10</v>
      </c>
      <c r="E3" s="62"/>
      <c r="F3" s="63"/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315</v>
      </c>
      <c r="C9" s="60"/>
      <c r="D9" s="95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316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317</v>
      </c>
      <c r="C11" s="60"/>
      <c r="D11" s="61" t="s">
        <v>10</v>
      </c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39</v>
      </c>
      <c r="B16" s="66" t="s">
        <v>322</v>
      </c>
      <c r="C16" s="60"/>
      <c r="D16" s="61" t="s">
        <v>10</v>
      </c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165</v>
      </c>
      <c r="B21" s="59" t="s">
        <v>327</v>
      </c>
      <c r="C21" s="60"/>
      <c r="D21" s="95" t="s">
        <v>10</v>
      </c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111</v>
      </c>
      <c r="B26" s="66" t="s">
        <v>332</v>
      </c>
      <c r="C26" s="60"/>
      <c r="D26" s="61" t="s">
        <v>10</v>
      </c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5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69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05" customHeight="1" x14ac:dyDescent="0.3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37</v>
      </c>
      <c r="B16" s="66" t="s">
        <v>348</v>
      </c>
      <c r="C16" s="60"/>
      <c r="D16" s="61" t="s">
        <v>10</v>
      </c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350</v>
      </c>
      <c r="C18" s="60"/>
      <c r="D18" s="61" t="s">
        <v>10</v>
      </c>
      <c r="E18" s="62">
        <v>1</v>
      </c>
      <c r="F18" s="63">
        <v>1</v>
      </c>
      <c r="G18" s="64">
        <f t="shared" si="0"/>
        <v>0</v>
      </c>
    </row>
    <row r="19" spans="1:7" ht="16.05" customHeight="1" x14ac:dyDescent="0.3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05" customHeight="1" x14ac:dyDescent="0.3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355</v>
      </c>
      <c r="B21" s="59" t="s">
        <v>356</v>
      </c>
      <c r="C21" s="60"/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05" customHeight="1" x14ac:dyDescent="0.3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05" customHeight="1" x14ac:dyDescent="0.3">
      <c r="A24" s="65" t="s">
        <v>360</v>
      </c>
      <c r="B24" s="66" t="s">
        <v>361</v>
      </c>
      <c r="C24" s="60"/>
      <c r="D24" s="95" t="s">
        <v>10</v>
      </c>
      <c r="E24" s="62"/>
      <c r="F24" s="63"/>
      <c r="G24" s="64">
        <f t="shared" si="0"/>
        <v>0</v>
      </c>
    </row>
    <row r="25" spans="1:7" ht="16.05" customHeight="1" x14ac:dyDescent="0.3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05" customHeight="1" x14ac:dyDescent="0.3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05" customHeight="1" x14ac:dyDescent="0.3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D19" sqref="D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70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05" customHeight="1" x14ac:dyDescent="0.3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05" customHeight="1" x14ac:dyDescent="0.3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371</v>
      </c>
      <c r="C10" s="60"/>
      <c r="D10" s="61" t="s">
        <v>10</v>
      </c>
      <c r="E10" s="62">
        <v>3</v>
      </c>
      <c r="F10" s="63">
        <v>2</v>
      </c>
      <c r="G10" s="64">
        <f t="shared" si="0"/>
        <v>1</v>
      </c>
    </row>
    <row r="11" spans="1:7" ht="16.05" customHeight="1" x14ac:dyDescent="0.3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05" customHeight="1" x14ac:dyDescent="0.3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05" customHeight="1" x14ac:dyDescent="0.3">
      <c r="A13" s="58" t="s">
        <v>31</v>
      </c>
      <c r="B13" s="59" t="s">
        <v>374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05" customHeight="1" x14ac:dyDescent="0.3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254</v>
      </c>
      <c r="B16" s="66" t="s">
        <v>377</v>
      </c>
      <c r="C16" s="60"/>
      <c r="D16" s="61" t="s">
        <v>10</v>
      </c>
      <c r="E16" s="62">
        <v>2</v>
      </c>
      <c r="F16" s="63">
        <v>2</v>
      </c>
      <c r="G16" s="64">
        <f t="shared" si="0"/>
        <v>0</v>
      </c>
    </row>
    <row r="17" spans="1:7" ht="16.05" customHeight="1" x14ac:dyDescent="0.3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05" customHeight="1" x14ac:dyDescent="0.3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05" customHeight="1" x14ac:dyDescent="0.3">
      <c r="A19" s="58" t="s">
        <v>43</v>
      </c>
      <c r="B19" s="59" t="s">
        <v>380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05" customHeight="1" x14ac:dyDescent="0.3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1</v>
      </c>
      <c r="G22" s="64">
        <f t="shared" si="0"/>
        <v>1</v>
      </c>
    </row>
    <row r="23" spans="1:7" ht="16.05" customHeight="1" x14ac:dyDescent="0.3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3" activePane="bottomLeft" state="frozen"/>
      <selection pane="bottomLeft" activeCell="D21" sqref="D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6" t="s">
        <v>71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1</v>
      </c>
      <c r="G3" s="64">
        <f t="shared" ref="G3:G25" si="0">MAX(0,IF(E3="",0,E3)-IF(F3="",0,F3))</f>
        <v>1</v>
      </c>
    </row>
    <row r="4" spans="1:7" ht="16.05" customHeight="1" x14ac:dyDescent="0.3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05" customHeight="1" x14ac:dyDescent="0.3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05" customHeight="1" x14ac:dyDescent="0.3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05" customHeight="1" x14ac:dyDescent="0.3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05" customHeight="1" x14ac:dyDescent="0.3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/>
      <c r="G12" s="64">
        <f t="shared" si="0"/>
        <v>1</v>
      </c>
    </row>
    <row r="13" spans="1:7" ht="16.05" customHeight="1" x14ac:dyDescent="0.3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05" customHeight="1" x14ac:dyDescent="0.3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37</v>
      </c>
      <c r="B15" s="59" t="s">
        <v>397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05" customHeight="1" x14ac:dyDescent="0.3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05" customHeight="1" x14ac:dyDescent="0.3">
      <c r="A21" s="58" t="s">
        <v>165</v>
      </c>
      <c r="B21" s="59" t="s">
        <v>403</v>
      </c>
      <c r="C21" s="60"/>
      <c r="D21" s="95" t="s">
        <v>10</v>
      </c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72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05" customHeight="1" x14ac:dyDescent="0.3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/>
      <c r="G6" s="64">
        <f t="shared" si="0"/>
        <v>1</v>
      </c>
    </row>
    <row r="7" spans="1:7" ht="16.05" customHeight="1" x14ac:dyDescent="0.3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270</v>
      </c>
      <c r="B9" s="59" t="s">
        <v>413</v>
      </c>
      <c r="C9" s="60"/>
      <c r="D9" s="95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224</v>
      </c>
      <c r="B12" s="66" t="s">
        <v>416</v>
      </c>
      <c r="C12" s="60"/>
      <c r="D12" s="95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123</v>
      </c>
      <c r="B13" s="59" t="s">
        <v>417</v>
      </c>
      <c r="C13" s="60"/>
      <c r="D13" s="61" t="s">
        <v>10</v>
      </c>
      <c r="E13" s="62">
        <v>2</v>
      </c>
      <c r="F13" s="63">
        <v>2</v>
      </c>
      <c r="G13" s="64">
        <f t="shared" si="0"/>
        <v>0</v>
      </c>
    </row>
    <row r="14" spans="1:7" ht="16.05" customHeight="1" x14ac:dyDescent="0.3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05" customHeight="1" x14ac:dyDescent="0.3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05" customHeight="1" x14ac:dyDescent="0.3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05" customHeight="1" x14ac:dyDescent="0.3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05" customHeight="1" x14ac:dyDescent="0.3">
      <c r="A22" s="65" t="s">
        <v>283</v>
      </c>
      <c r="B22" s="66" t="s">
        <v>426</v>
      </c>
      <c r="C22" s="60"/>
      <c r="D22" s="95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05" customHeight="1" x14ac:dyDescent="0.3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05" customHeight="1" x14ac:dyDescent="0.3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05" customHeight="1" x14ac:dyDescent="0.3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05" customHeight="1" x14ac:dyDescent="0.3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4" activePane="bottomLeft" state="frozen"/>
      <selection pane="bottomLeft" activeCell="D25" sqref="D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73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05" customHeight="1" x14ac:dyDescent="0.3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05" customHeight="1" x14ac:dyDescent="0.3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05" customHeight="1" x14ac:dyDescent="0.3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05" customHeight="1" x14ac:dyDescent="0.3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05" customHeight="1" x14ac:dyDescent="0.3">
      <c r="A10" s="65" t="s">
        <v>339</v>
      </c>
      <c r="B10" s="66" t="s">
        <v>438</v>
      </c>
      <c r="C10" s="60"/>
      <c r="D10" s="95" t="s">
        <v>10</v>
      </c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05" customHeight="1" x14ac:dyDescent="0.3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05" customHeight="1" x14ac:dyDescent="0.3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154</v>
      </c>
      <c r="B14" s="66" t="s">
        <v>442</v>
      </c>
      <c r="C14" s="60"/>
      <c r="D14" s="95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05" customHeight="1" x14ac:dyDescent="0.3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05" customHeight="1" x14ac:dyDescent="0.3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39</v>
      </c>
      <c r="B18" s="66" t="s">
        <v>448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05" customHeight="1" x14ac:dyDescent="0.3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05" customHeight="1" x14ac:dyDescent="0.3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451</v>
      </c>
      <c r="C21" s="60"/>
      <c r="D21" s="61" t="s">
        <v>10</v>
      </c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452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49</v>
      </c>
      <c r="B23" s="59" t="s">
        <v>453</v>
      </c>
      <c r="C23" s="60"/>
      <c r="D23" s="61" t="s">
        <v>10</v>
      </c>
      <c r="E23" s="62">
        <v>1</v>
      </c>
      <c r="F23" s="63"/>
      <c r="G23" s="64">
        <f t="shared" si="0"/>
        <v>1</v>
      </c>
    </row>
    <row r="24" spans="1:7" ht="16.05" customHeight="1" x14ac:dyDescent="0.3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05" customHeight="1" x14ac:dyDescent="0.3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/>
      <c r="G25" s="6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19" sqref="D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74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05" customHeight="1" x14ac:dyDescent="0.3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05" customHeight="1" x14ac:dyDescent="0.3">
      <c r="A5" s="34" t="s">
        <v>13</v>
      </c>
      <c r="B5" s="35" t="s">
        <v>457</v>
      </c>
      <c r="C5" s="43"/>
      <c r="D5" s="44" t="s">
        <v>10</v>
      </c>
      <c r="E5" s="45"/>
      <c r="F5" s="46"/>
      <c r="G5" s="40">
        <f t="shared" si="0"/>
        <v>0</v>
      </c>
    </row>
    <row r="6" spans="1:7" ht="16.05" customHeight="1" x14ac:dyDescent="0.3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05" customHeight="1" x14ac:dyDescent="0.3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05" customHeight="1" x14ac:dyDescent="0.3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05" customHeight="1" x14ac:dyDescent="0.3">
      <c r="A10" s="41" t="s">
        <v>27</v>
      </c>
      <c r="B10" s="42" t="s">
        <v>462</v>
      </c>
      <c r="C10" s="43"/>
      <c r="D10" s="44" t="s">
        <v>10</v>
      </c>
      <c r="E10" s="45"/>
      <c r="F10" s="46"/>
      <c r="G10" s="40">
        <f t="shared" si="0"/>
        <v>0</v>
      </c>
    </row>
    <row r="11" spans="1:7" ht="16.05" customHeight="1" x14ac:dyDescent="0.3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05" customHeight="1" x14ac:dyDescent="0.3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05" customHeight="1" x14ac:dyDescent="0.3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05" customHeight="1" x14ac:dyDescent="0.3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05" customHeight="1" x14ac:dyDescent="0.3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05" customHeight="1" x14ac:dyDescent="0.3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05" customHeight="1" x14ac:dyDescent="0.3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05" customHeight="1" x14ac:dyDescent="0.3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05" customHeight="1" x14ac:dyDescent="0.3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05" customHeight="1" x14ac:dyDescent="0.3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05" customHeight="1" x14ac:dyDescent="0.3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05" customHeight="1" x14ac:dyDescent="0.3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05" customHeight="1" x14ac:dyDescent="0.3">
      <c r="A23" s="34" t="s">
        <v>53</v>
      </c>
      <c r="B23" s="35" t="s">
        <v>475</v>
      </c>
      <c r="C23" s="43"/>
      <c r="D23" s="44" t="s">
        <v>10</v>
      </c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5" activePane="bottomLeft" state="frozen"/>
      <selection pane="bottomLeft" activeCell="D25" sqref="D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5" t="s">
        <v>75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05" customHeight="1" x14ac:dyDescent="0.3">
      <c r="A4" s="65" t="s">
        <v>11</v>
      </c>
      <c r="B4" s="66" t="s">
        <v>476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05" customHeight="1" x14ac:dyDescent="0.3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05" customHeight="1" x14ac:dyDescent="0.3">
      <c r="A9" s="58" t="s">
        <v>270</v>
      </c>
      <c r="B9" s="59" t="s">
        <v>481</v>
      </c>
      <c r="C9" s="60"/>
      <c r="D9" s="95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05" customHeight="1" x14ac:dyDescent="0.3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05" customHeight="1" x14ac:dyDescent="0.3">
      <c r="A12" s="65" t="s">
        <v>224</v>
      </c>
      <c r="B12" s="66" t="s">
        <v>484</v>
      </c>
      <c r="C12" s="60"/>
      <c r="D12" s="95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05" customHeight="1" x14ac:dyDescent="0.3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05" customHeight="1" x14ac:dyDescent="0.3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05" customHeight="1" x14ac:dyDescent="0.3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05" customHeight="1" x14ac:dyDescent="0.3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05" customHeight="1" x14ac:dyDescent="0.3">
      <c r="A18" s="65" t="s">
        <v>39</v>
      </c>
      <c r="B18" s="66" t="s">
        <v>490</v>
      </c>
      <c r="C18" s="60"/>
      <c r="D18" s="61" t="s">
        <v>10</v>
      </c>
      <c r="E18" s="71">
        <v>2</v>
      </c>
      <c r="F18" s="63">
        <v>2</v>
      </c>
      <c r="G18" s="64">
        <f t="shared" si="0"/>
        <v>0</v>
      </c>
    </row>
    <row r="19" spans="1:7" ht="16.05" customHeight="1" x14ac:dyDescent="0.3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05" customHeight="1" x14ac:dyDescent="0.3">
      <c r="A20" s="65" t="s">
        <v>43</v>
      </c>
      <c r="B20" s="66" t="s">
        <v>492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05" customHeight="1" x14ac:dyDescent="0.3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05" customHeight="1" x14ac:dyDescent="0.3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05" customHeight="1" x14ac:dyDescent="0.3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05" customHeight="1" x14ac:dyDescent="0.3">
      <c r="A25" s="58" t="s">
        <v>214</v>
      </c>
      <c r="B25" s="59" t="s">
        <v>497</v>
      </c>
      <c r="C25" s="60"/>
      <c r="D25" s="95" t="s">
        <v>10</v>
      </c>
      <c r="E25" s="62"/>
      <c r="F25" s="63"/>
      <c r="G25" s="64">
        <f t="shared" si="0"/>
        <v>0</v>
      </c>
    </row>
    <row r="26" spans="1:7" ht="16.05" customHeight="1" x14ac:dyDescent="0.3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D2" sqref="D2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6" t="s">
        <v>76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05" customHeight="1" x14ac:dyDescent="0.3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05" customHeight="1" x14ac:dyDescent="0.3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05" customHeight="1" x14ac:dyDescent="0.3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05" customHeight="1" x14ac:dyDescent="0.3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05" customHeight="1" x14ac:dyDescent="0.3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05" customHeight="1" x14ac:dyDescent="0.3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05" customHeight="1" x14ac:dyDescent="0.3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05" customHeight="1" x14ac:dyDescent="0.3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05" customHeight="1" x14ac:dyDescent="0.3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05" customHeight="1" x14ac:dyDescent="0.3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05" customHeight="1" x14ac:dyDescent="0.3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05" customHeight="1" x14ac:dyDescent="0.3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05" customHeight="1" x14ac:dyDescent="0.3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05" customHeight="1" x14ac:dyDescent="0.3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05" customHeight="1" x14ac:dyDescent="0.3">
      <c r="A18" s="41" t="s">
        <v>43</v>
      </c>
      <c r="B18" s="42" t="s">
        <v>513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05" customHeight="1" x14ac:dyDescent="0.3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05" customHeight="1" x14ac:dyDescent="0.3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05" customHeight="1" x14ac:dyDescent="0.3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05" customHeight="1" x14ac:dyDescent="0.3">
      <c r="A22" s="41" t="s">
        <v>49</v>
      </c>
      <c r="B22" s="42" t="s">
        <v>517</v>
      </c>
      <c r="C22" s="36"/>
      <c r="D22" s="37" t="s">
        <v>10</v>
      </c>
      <c r="E22" s="38"/>
      <c r="F22" s="39"/>
      <c r="G22" s="40">
        <f t="shared" si="0"/>
        <v>0</v>
      </c>
    </row>
    <row r="23" spans="1:7" ht="16.05" customHeight="1" x14ac:dyDescent="0.3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05" customHeight="1" x14ac:dyDescent="0.3">
      <c r="A24" s="52" t="s">
        <v>214</v>
      </c>
      <c r="B24" s="53" t="s">
        <v>519</v>
      </c>
      <c r="C24" s="36"/>
      <c r="D24" s="37" t="s">
        <v>10</v>
      </c>
      <c r="E24" s="38"/>
      <c r="F24" s="39"/>
      <c r="G24" s="40">
        <f t="shared" si="0"/>
        <v>0</v>
      </c>
    </row>
    <row r="25" spans="1:7" ht="16.05" customHeight="1" x14ac:dyDescent="0.3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05" customHeight="1" x14ac:dyDescent="0.3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6" activePane="bottomLeft" state="frozen"/>
      <selection pane="bottomLeft" activeCell="C27" sqref="C27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7" t="s">
        <v>77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1</v>
      </c>
      <c r="G3" s="40">
        <f t="shared" ref="G3:G26" si="0">MAX(0,IF(E3="",0,E3)-IF(F3="",0,F3))</f>
        <v>1</v>
      </c>
    </row>
    <row r="4" spans="1:7" ht="16.05" customHeight="1" x14ac:dyDescent="0.3">
      <c r="A4" s="41" t="s">
        <v>11</v>
      </c>
      <c r="B4" s="42" t="s">
        <v>524</v>
      </c>
      <c r="C4" s="36" t="s">
        <v>10</v>
      </c>
      <c r="D4" s="37"/>
      <c r="E4" s="38"/>
      <c r="F4" s="39"/>
      <c r="G4" s="40">
        <f t="shared" si="0"/>
        <v>0</v>
      </c>
    </row>
    <row r="5" spans="1:7" ht="16.05" customHeight="1" x14ac:dyDescent="0.3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05" customHeight="1" x14ac:dyDescent="0.3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05" customHeight="1" x14ac:dyDescent="0.3">
      <c r="A7" s="34" t="s">
        <v>17</v>
      </c>
      <c r="B7" s="35" t="s">
        <v>527</v>
      </c>
      <c r="C7" s="36"/>
      <c r="D7" s="37" t="s">
        <v>10</v>
      </c>
      <c r="E7" s="38"/>
      <c r="F7" s="39"/>
      <c r="G7" s="40">
        <f t="shared" si="0"/>
        <v>0</v>
      </c>
    </row>
    <row r="8" spans="1:7" ht="16.05" customHeight="1" x14ac:dyDescent="0.3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05" customHeight="1" x14ac:dyDescent="0.3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05" customHeight="1" x14ac:dyDescent="0.3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05" customHeight="1" x14ac:dyDescent="0.3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05" customHeight="1" x14ac:dyDescent="0.3">
      <c r="A12" s="41" t="s">
        <v>533</v>
      </c>
      <c r="B12" s="42" t="s">
        <v>534</v>
      </c>
      <c r="C12" s="36"/>
      <c r="D12" s="37"/>
      <c r="E12" s="38">
        <v>1</v>
      </c>
      <c r="F12" s="39"/>
      <c r="G12" s="40">
        <f t="shared" si="0"/>
        <v>1</v>
      </c>
    </row>
    <row r="13" spans="1:7" ht="16.05" customHeight="1" x14ac:dyDescent="0.3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05" customHeight="1" x14ac:dyDescent="0.3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05" customHeight="1" x14ac:dyDescent="0.3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05" customHeight="1" x14ac:dyDescent="0.3">
      <c r="A16" s="41" t="s">
        <v>31</v>
      </c>
      <c r="B16" s="42" t="s">
        <v>538</v>
      </c>
      <c r="C16" s="36"/>
      <c r="D16" s="37" t="s">
        <v>10</v>
      </c>
      <c r="E16" s="38"/>
      <c r="F16" s="39"/>
      <c r="G16" s="40">
        <f t="shared" si="0"/>
        <v>0</v>
      </c>
    </row>
    <row r="17" spans="1:7" ht="16.05" customHeight="1" x14ac:dyDescent="0.3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05" customHeight="1" x14ac:dyDescent="0.3">
      <c r="A18" s="41" t="s">
        <v>37</v>
      </c>
      <c r="B18" s="42" t="s">
        <v>540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05" customHeight="1" x14ac:dyDescent="0.3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05" customHeight="1" x14ac:dyDescent="0.3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05" customHeight="1" x14ac:dyDescent="0.3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05" customHeight="1" x14ac:dyDescent="0.3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05" customHeight="1" x14ac:dyDescent="0.3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05" customHeight="1" x14ac:dyDescent="0.3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05" customHeight="1" x14ac:dyDescent="0.3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05" customHeight="1" x14ac:dyDescent="0.3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/>
      <c r="G26" s="40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22" activePane="bottomLeft" state="frozen"/>
      <selection pane="bottomLeft" activeCell="D42" sqref="D42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8" t="s">
        <v>549</v>
      </c>
      <c r="B1" s="73"/>
      <c r="C1" s="73"/>
      <c r="D1" s="73"/>
      <c r="E1" s="73"/>
      <c r="F1" s="73"/>
      <c r="G1" s="73"/>
    </row>
    <row r="2" spans="1:7" ht="18" customHeight="1" x14ac:dyDescent="0.3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05" customHeight="1" x14ac:dyDescent="0.3">
      <c r="A3" s="58" t="s">
        <v>550</v>
      </c>
      <c r="B3" s="59" t="s">
        <v>551</v>
      </c>
      <c r="C3" s="60"/>
      <c r="D3" s="61" t="s">
        <v>10</v>
      </c>
      <c r="E3" s="62"/>
      <c r="F3" s="63"/>
      <c r="G3" s="64">
        <f t="shared" ref="G3:G42" si="0">MAX(0,IF(E3="",0,E3)-IF(F3="",0,F3))</f>
        <v>0</v>
      </c>
    </row>
    <row r="4" spans="1:7" ht="16.05" customHeight="1" x14ac:dyDescent="0.3">
      <c r="A4" s="65" t="s">
        <v>552</v>
      </c>
      <c r="B4" s="66" t="s">
        <v>553</v>
      </c>
      <c r="C4" s="60"/>
      <c r="D4" s="61" t="s">
        <v>10</v>
      </c>
      <c r="E4" s="62"/>
      <c r="F4" s="63"/>
      <c r="G4" s="64">
        <f t="shared" si="0"/>
        <v>0</v>
      </c>
    </row>
    <row r="5" spans="1:7" ht="16.05" customHeight="1" x14ac:dyDescent="0.3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05" customHeight="1" x14ac:dyDescent="0.3">
      <c r="A6" s="65" t="s">
        <v>556</v>
      </c>
      <c r="B6" s="66" t="s">
        <v>557</v>
      </c>
      <c r="C6" s="60"/>
      <c r="D6" s="61" t="s">
        <v>10</v>
      </c>
      <c r="E6" s="62"/>
      <c r="F6" s="63"/>
      <c r="G6" s="64">
        <f t="shared" si="0"/>
        <v>0</v>
      </c>
    </row>
    <row r="7" spans="1:7" ht="16.05" customHeight="1" x14ac:dyDescent="0.3">
      <c r="A7" s="58" t="s">
        <v>558</v>
      </c>
      <c r="B7" s="59" t="s">
        <v>559</v>
      </c>
      <c r="C7" s="60"/>
      <c r="D7" s="61" t="s">
        <v>10</v>
      </c>
      <c r="E7" s="62"/>
      <c r="F7" s="63"/>
      <c r="G7" s="64">
        <f t="shared" si="0"/>
        <v>0</v>
      </c>
    </row>
    <row r="8" spans="1:7" ht="16.05" customHeight="1" x14ac:dyDescent="0.3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05" customHeight="1" x14ac:dyDescent="0.3">
      <c r="A9" s="58" t="s">
        <v>562</v>
      </c>
      <c r="B9" s="59" t="s">
        <v>563</v>
      </c>
      <c r="C9" s="60"/>
      <c r="D9" s="61" t="s">
        <v>10</v>
      </c>
      <c r="E9" s="62"/>
      <c r="F9" s="63"/>
      <c r="G9" s="64">
        <f t="shared" si="0"/>
        <v>0</v>
      </c>
    </row>
    <row r="10" spans="1:7" ht="16.05" customHeight="1" x14ac:dyDescent="0.3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05" customHeight="1" x14ac:dyDescent="0.3">
      <c r="A11" s="58" t="s">
        <v>566</v>
      </c>
      <c r="B11" s="59" t="s">
        <v>567</v>
      </c>
      <c r="C11" s="60"/>
      <c r="D11" s="61" t="s">
        <v>10</v>
      </c>
      <c r="E11" s="62"/>
      <c r="F11" s="63"/>
      <c r="G11" s="64">
        <f t="shared" si="0"/>
        <v>0</v>
      </c>
    </row>
    <row r="12" spans="1:7" ht="16.05" customHeight="1" x14ac:dyDescent="0.3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05" customHeight="1" x14ac:dyDescent="0.3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05" customHeight="1" x14ac:dyDescent="0.3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05" customHeight="1" x14ac:dyDescent="0.3">
      <c r="A15" s="58" t="s">
        <v>574</v>
      </c>
      <c r="B15" s="59" t="s">
        <v>575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05" customHeight="1" x14ac:dyDescent="0.3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05" customHeight="1" x14ac:dyDescent="0.3">
      <c r="A17" s="58" t="s">
        <v>578</v>
      </c>
      <c r="B17" s="59" t="s">
        <v>579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05" customHeight="1" x14ac:dyDescent="0.3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05" customHeight="1" x14ac:dyDescent="0.3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05" customHeight="1" x14ac:dyDescent="0.3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05" customHeight="1" x14ac:dyDescent="0.3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05" customHeight="1" x14ac:dyDescent="0.3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05" customHeight="1" x14ac:dyDescent="0.3">
      <c r="A23" s="58" t="s">
        <v>590</v>
      </c>
      <c r="B23" s="59" t="s">
        <v>591</v>
      </c>
      <c r="C23" s="60"/>
      <c r="D23" s="95" t="s">
        <v>10</v>
      </c>
      <c r="E23" s="62"/>
      <c r="F23" s="63"/>
      <c r="G23" s="64">
        <f t="shared" si="0"/>
        <v>0</v>
      </c>
    </row>
    <row r="24" spans="1:7" ht="16.05" customHeight="1" x14ac:dyDescent="0.3">
      <c r="A24" s="65" t="s">
        <v>592</v>
      </c>
      <c r="B24" s="66" t="s">
        <v>593</v>
      </c>
      <c r="C24" s="60"/>
      <c r="D24" s="95" t="s">
        <v>10</v>
      </c>
      <c r="E24" s="62"/>
      <c r="F24" s="63"/>
      <c r="G24" s="64">
        <f t="shared" si="0"/>
        <v>0</v>
      </c>
    </row>
    <row r="25" spans="1:7" ht="16.05" customHeight="1" x14ac:dyDescent="0.3">
      <c r="A25" s="58" t="s">
        <v>594</v>
      </c>
      <c r="B25" s="59" t="s">
        <v>595</v>
      </c>
      <c r="C25" s="60"/>
      <c r="D25" s="95" t="s">
        <v>10</v>
      </c>
      <c r="E25" s="62"/>
      <c r="F25" s="63"/>
      <c r="G25" s="64">
        <f t="shared" si="0"/>
        <v>0</v>
      </c>
    </row>
    <row r="26" spans="1:7" ht="16.05" customHeight="1" x14ac:dyDescent="0.3">
      <c r="A26" s="65" t="s">
        <v>596</v>
      </c>
      <c r="B26" s="66" t="s">
        <v>597</v>
      </c>
      <c r="C26" s="60"/>
      <c r="D26" s="95" t="s">
        <v>10</v>
      </c>
      <c r="E26" s="62"/>
      <c r="F26" s="63"/>
      <c r="G26" s="64">
        <f t="shared" si="0"/>
        <v>0</v>
      </c>
    </row>
    <row r="27" spans="1:7" ht="16.05" customHeight="1" x14ac:dyDescent="0.3">
      <c r="A27" s="58" t="s">
        <v>598</v>
      </c>
      <c r="B27" s="59" t="s">
        <v>599</v>
      </c>
      <c r="C27" s="60"/>
      <c r="D27" s="95" t="s">
        <v>10</v>
      </c>
      <c r="E27" s="62"/>
      <c r="F27" s="63"/>
      <c r="G27" s="64">
        <f t="shared" si="0"/>
        <v>0</v>
      </c>
    </row>
    <row r="28" spans="1:7" ht="16.05" customHeight="1" x14ac:dyDescent="0.3">
      <c r="A28" s="65" t="s">
        <v>600</v>
      </c>
      <c r="B28" s="66" t="s">
        <v>601</v>
      </c>
      <c r="C28" s="60"/>
      <c r="D28" s="95" t="s">
        <v>10</v>
      </c>
      <c r="E28" s="62"/>
      <c r="F28" s="63"/>
      <c r="G28" s="64">
        <f t="shared" si="0"/>
        <v>0</v>
      </c>
    </row>
    <row r="29" spans="1:7" ht="16.05" customHeight="1" x14ac:dyDescent="0.3">
      <c r="A29" s="58" t="s">
        <v>602</v>
      </c>
      <c r="B29" s="59" t="s">
        <v>603</v>
      </c>
      <c r="C29" s="60"/>
      <c r="D29" s="95" t="s">
        <v>10</v>
      </c>
      <c r="E29" s="62"/>
      <c r="F29" s="63"/>
      <c r="G29" s="64">
        <f t="shared" si="0"/>
        <v>0</v>
      </c>
    </row>
    <row r="30" spans="1:7" ht="16.05" customHeight="1" x14ac:dyDescent="0.3">
      <c r="A30" s="65" t="s">
        <v>604</v>
      </c>
      <c r="B30" s="66" t="s">
        <v>605</v>
      </c>
      <c r="C30" s="60"/>
      <c r="D30" s="95" t="s">
        <v>10</v>
      </c>
      <c r="E30" s="62"/>
      <c r="F30" s="63"/>
      <c r="G30" s="64">
        <f t="shared" si="0"/>
        <v>0</v>
      </c>
    </row>
    <row r="31" spans="1:7" ht="16.05" customHeight="1" x14ac:dyDescent="0.3">
      <c r="A31" s="58" t="s">
        <v>606</v>
      </c>
      <c r="B31" s="59" t="s">
        <v>607</v>
      </c>
      <c r="C31" s="60"/>
      <c r="D31" s="95" t="s">
        <v>10</v>
      </c>
      <c r="E31" s="62"/>
      <c r="F31" s="63"/>
      <c r="G31" s="64">
        <f t="shared" si="0"/>
        <v>0</v>
      </c>
    </row>
    <row r="32" spans="1:7" ht="16.05" customHeight="1" x14ac:dyDescent="0.3">
      <c r="A32" s="65" t="s">
        <v>608</v>
      </c>
      <c r="B32" s="66" t="s">
        <v>609</v>
      </c>
      <c r="C32" s="60"/>
      <c r="D32" s="95" t="s">
        <v>10</v>
      </c>
      <c r="E32" s="62"/>
      <c r="F32" s="63"/>
      <c r="G32" s="64">
        <f t="shared" si="0"/>
        <v>0</v>
      </c>
    </row>
    <row r="33" spans="1:7" ht="16.05" customHeight="1" x14ac:dyDescent="0.3">
      <c r="A33" s="58" t="s">
        <v>610</v>
      </c>
      <c r="B33" s="59" t="s">
        <v>611</v>
      </c>
      <c r="C33" s="60"/>
      <c r="D33" s="95" t="s">
        <v>10</v>
      </c>
      <c r="E33" s="62"/>
      <c r="F33" s="63"/>
      <c r="G33" s="64">
        <f t="shared" si="0"/>
        <v>0</v>
      </c>
    </row>
    <row r="34" spans="1:7" ht="16.05" customHeight="1" x14ac:dyDescent="0.3">
      <c r="A34" s="65" t="s">
        <v>612</v>
      </c>
      <c r="B34" s="66" t="s">
        <v>613</v>
      </c>
      <c r="C34" s="60"/>
      <c r="D34" s="95" t="s">
        <v>10</v>
      </c>
      <c r="E34" s="62"/>
      <c r="F34" s="63"/>
      <c r="G34" s="64">
        <f t="shared" si="0"/>
        <v>0</v>
      </c>
    </row>
    <row r="35" spans="1:7" ht="16.05" customHeight="1" x14ac:dyDescent="0.3">
      <c r="A35" s="58" t="s">
        <v>614</v>
      </c>
      <c r="B35" s="59" t="s">
        <v>615</v>
      </c>
      <c r="C35" s="60"/>
      <c r="D35" s="95" t="s">
        <v>10</v>
      </c>
      <c r="E35" s="62"/>
      <c r="F35" s="63"/>
      <c r="G35" s="64">
        <f t="shared" si="0"/>
        <v>0</v>
      </c>
    </row>
    <row r="36" spans="1:7" ht="16.05" customHeight="1" x14ac:dyDescent="0.3">
      <c r="A36" s="65" t="s">
        <v>616</v>
      </c>
      <c r="B36" s="66" t="s">
        <v>617</v>
      </c>
      <c r="C36" s="60"/>
      <c r="D36" s="95" t="s">
        <v>10</v>
      </c>
      <c r="E36" s="62"/>
      <c r="F36" s="63"/>
      <c r="G36" s="64">
        <f t="shared" si="0"/>
        <v>0</v>
      </c>
    </row>
    <row r="37" spans="1:7" ht="16.05" customHeight="1" x14ac:dyDescent="0.3">
      <c r="A37" s="58" t="s">
        <v>618</v>
      </c>
      <c r="B37" s="59" t="s">
        <v>619</v>
      </c>
      <c r="C37" s="60"/>
      <c r="D37" s="95" t="s">
        <v>10</v>
      </c>
      <c r="E37" s="62"/>
      <c r="F37" s="63"/>
      <c r="G37" s="64">
        <f t="shared" si="0"/>
        <v>0</v>
      </c>
    </row>
    <row r="38" spans="1:7" ht="16.05" customHeight="1" x14ac:dyDescent="0.3">
      <c r="A38" s="65" t="s">
        <v>620</v>
      </c>
      <c r="B38" s="66" t="s">
        <v>621</v>
      </c>
      <c r="C38" s="60"/>
      <c r="D38" s="95" t="s">
        <v>10</v>
      </c>
      <c r="E38" s="62"/>
      <c r="F38" s="63"/>
      <c r="G38" s="64">
        <f t="shared" si="0"/>
        <v>0</v>
      </c>
    </row>
    <row r="39" spans="1:7" ht="16.05" customHeight="1" x14ac:dyDescent="0.3">
      <c r="A39" s="58" t="s">
        <v>622</v>
      </c>
      <c r="B39" s="59" t="s">
        <v>623</v>
      </c>
      <c r="C39" s="60"/>
      <c r="D39" s="95" t="s">
        <v>10</v>
      </c>
      <c r="E39" s="62"/>
      <c r="F39" s="63"/>
      <c r="G39" s="64">
        <f t="shared" si="0"/>
        <v>0</v>
      </c>
    </row>
    <row r="40" spans="1:7" ht="16.05" customHeight="1" x14ac:dyDescent="0.3">
      <c r="A40" s="65" t="s">
        <v>624</v>
      </c>
      <c r="B40" s="66" t="s">
        <v>625</v>
      </c>
      <c r="C40" s="60"/>
      <c r="D40" s="95" t="s">
        <v>10</v>
      </c>
      <c r="E40" s="62"/>
      <c r="F40" s="63"/>
      <c r="G40" s="64">
        <f t="shared" si="0"/>
        <v>0</v>
      </c>
    </row>
    <row r="41" spans="1:7" ht="16.05" customHeight="1" x14ac:dyDescent="0.3">
      <c r="A41" s="58" t="s">
        <v>626</v>
      </c>
      <c r="B41" s="59" t="s">
        <v>627</v>
      </c>
      <c r="C41" s="60"/>
      <c r="D41" s="95" t="s">
        <v>10</v>
      </c>
      <c r="E41" s="62"/>
      <c r="F41" s="63"/>
      <c r="G41" s="64">
        <f t="shared" si="0"/>
        <v>0</v>
      </c>
    </row>
    <row r="42" spans="1:7" ht="16.05" customHeight="1" x14ac:dyDescent="0.3">
      <c r="A42" s="65" t="s">
        <v>628</v>
      </c>
      <c r="B42" s="66" t="s">
        <v>629</v>
      </c>
      <c r="C42" s="60"/>
      <c r="D42" s="95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9" t="s">
        <v>78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05" customHeight="1" x14ac:dyDescent="0.3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05" customHeight="1" x14ac:dyDescent="0.3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05" customHeight="1" x14ac:dyDescent="0.3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05" customHeight="1" x14ac:dyDescent="0.3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05" customHeight="1" x14ac:dyDescent="0.3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05" customHeight="1" x14ac:dyDescent="0.3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05" customHeight="1" x14ac:dyDescent="0.3">
      <c r="A10" s="25" t="s">
        <v>27</v>
      </c>
      <c r="B10" s="26" t="s">
        <v>637</v>
      </c>
      <c r="C10" s="20"/>
      <c r="D10" s="21" t="s">
        <v>10</v>
      </c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638</v>
      </c>
      <c r="C11" s="20"/>
      <c r="D11" s="21" t="s">
        <v>10</v>
      </c>
      <c r="E11" s="22"/>
      <c r="F11" s="23"/>
      <c r="G11" s="24">
        <f t="shared" si="0"/>
        <v>0</v>
      </c>
    </row>
    <row r="12" spans="1:7" ht="16.05" customHeight="1" x14ac:dyDescent="0.3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41</v>
      </c>
      <c r="B16" s="26" t="s">
        <v>643</v>
      </c>
      <c r="C16" s="20"/>
      <c r="D16" s="21" t="s">
        <v>10</v>
      </c>
      <c r="E16" s="22"/>
      <c r="F16" s="23"/>
      <c r="G16" s="24">
        <f t="shared" si="0"/>
        <v>0</v>
      </c>
    </row>
    <row r="17" spans="1:7" ht="16.05" customHeight="1" x14ac:dyDescent="0.3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0" t="s">
        <v>79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05" customHeight="1" x14ac:dyDescent="0.3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05" customHeight="1" x14ac:dyDescent="0.3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/>
      <c r="G5" s="24">
        <f t="shared" si="0"/>
        <v>1</v>
      </c>
    </row>
    <row r="6" spans="1:7" ht="16.05" customHeight="1" x14ac:dyDescent="0.3">
      <c r="A6" s="25" t="s">
        <v>15</v>
      </c>
      <c r="B6" s="26" t="s">
        <v>648</v>
      </c>
      <c r="C6" s="20"/>
      <c r="D6" s="21" t="s">
        <v>10</v>
      </c>
      <c r="E6" s="22"/>
      <c r="F6" s="23"/>
      <c r="G6" s="24">
        <f t="shared" si="0"/>
        <v>0</v>
      </c>
    </row>
    <row r="7" spans="1:7" ht="16.05" customHeight="1" x14ac:dyDescent="0.3">
      <c r="A7" s="18" t="s">
        <v>90</v>
      </c>
      <c r="B7" s="19" t="s">
        <v>635</v>
      </c>
      <c r="C7" s="20"/>
      <c r="D7" s="21" t="s">
        <v>10</v>
      </c>
      <c r="E7" s="22"/>
      <c r="F7" s="23"/>
      <c r="G7" s="24">
        <f t="shared" si="0"/>
        <v>0</v>
      </c>
    </row>
    <row r="8" spans="1:7" ht="16.05" customHeight="1" x14ac:dyDescent="0.3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/>
      <c r="G9" s="24">
        <f t="shared" si="0"/>
        <v>1</v>
      </c>
    </row>
    <row r="10" spans="1:7" ht="16.05" customHeight="1" x14ac:dyDescent="0.3">
      <c r="A10" s="25" t="s">
        <v>27</v>
      </c>
      <c r="B10" s="26" t="s">
        <v>649</v>
      </c>
      <c r="C10" s="20"/>
      <c r="D10" s="21" t="s">
        <v>10</v>
      </c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/>
      <c r="G11" s="2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5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1" t="s">
        <v>80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05" customHeight="1" x14ac:dyDescent="0.3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05" customHeight="1" x14ac:dyDescent="0.3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29</v>
      </c>
      <c r="B11" s="19" t="s">
        <v>658</v>
      </c>
      <c r="C11" s="20"/>
      <c r="D11" s="21" t="s">
        <v>10</v>
      </c>
      <c r="E11" s="22"/>
      <c r="F11" s="23"/>
      <c r="G11" s="24">
        <f t="shared" si="0"/>
        <v>0</v>
      </c>
    </row>
    <row r="12" spans="1:7" ht="16.05" customHeight="1" x14ac:dyDescent="0.3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05" customHeight="1" x14ac:dyDescent="0.3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/>
      <c r="G16" s="24">
        <f t="shared" si="0"/>
        <v>1</v>
      </c>
    </row>
    <row r="17" spans="1:7" ht="16.05" customHeight="1" x14ac:dyDescent="0.3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05" customHeight="1" x14ac:dyDescent="0.3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05" customHeight="1" x14ac:dyDescent="0.3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05" customHeight="1" x14ac:dyDescent="0.3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05" customHeight="1" x14ac:dyDescent="0.3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05" customHeight="1" x14ac:dyDescent="0.3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05" customHeight="1" x14ac:dyDescent="0.3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F19" sqref="F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2" t="s">
        <v>81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05" customHeight="1" x14ac:dyDescent="0.3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/>
      <c r="G4" s="24">
        <f t="shared" si="0"/>
        <v>1</v>
      </c>
    </row>
    <row r="5" spans="1:7" ht="16.05" customHeight="1" x14ac:dyDescent="0.3">
      <c r="A5" s="18" t="s">
        <v>678</v>
      </c>
      <c r="B5" s="19" t="s">
        <v>652</v>
      </c>
      <c r="C5" s="20"/>
      <c r="D5" s="21" t="s">
        <v>10</v>
      </c>
      <c r="E5" s="22"/>
      <c r="F5" s="23"/>
      <c r="G5" s="24">
        <f t="shared" si="0"/>
        <v>0</v>
      </c>
    </row>
    <row r="6" spans="1:7" ht="16.05" customHeight="1" x14ac:dyDescent="0.3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05" customHeight="1" x14ac:dyDescent="0.3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/>
      <c r="G14" s="24">
        <f t="shared" si="0"/>
        <v>1</v>
      </c>
    </row>
    <row r="15" spans="1:7" ht="16.05" customHeight="1" x14ac:dyDescent="0.3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05" customHeight="1" x14ac:dyDescent="0.3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05" customHeight="1" x14ac:dyDescent="0.3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05" customHeight="1" x14ac:dyDescent="0.3">
      <c r="A21" s="18" t="s">
        <v>694</v>
      </c>
      <c r="B21" s="19" t="s">
        <v>668</v>
      </c>
      <c r="C21" s="20"/>
      <c r="D21" s="21" t="s">
        <v>10</v>
      </c>
      <c r="E21" s="22"/>
      <c r="F21" s="23"/>
      <c r="G21" s="24">
        <f t="shared" si="0"/>
        <v>0</v>
      </c>
    </row>
    <row r="22" spans="1:7" ht="16.05" customHeight="1" x14ac:dyDescent="0.3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05" customHeight="1" x14ac:dyDescent="0.3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/>
      <c r="G23" s="24">
        <f t="shared" si="0"/>
        <v>1</v>
      </c>
    </row>
    <row r="24" spans="1:7" ht="16.05" customHeight="1" x14ac:dyDescent="0.3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05" customHeight="1" x14ac:dyDescent="0.3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3" t="s">
        <v>82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05" customHeight="1" x14ac:dyDescent="0.3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05" customHeight="1" x14ac:dyDescent="0.3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05" customHeight="1" x14ac:dyDescent="0.3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05" customHeight="1" x14ac:dyDescent="0.3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05" customHeight="1" x14ac:dyDescent="0.3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05" customHeight="1" x14ac:dyDescent="0.3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tabSelected="1" workbookViewId="0">
      <pane ySplit="2" topLeftCell="A11" activePane="bottomLeft" state="frozen"/>
      <selection pane="bottomLeft" activeCell="G16" sqref="G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4" t="s">
        <v>729</v>
      </c>
      <c r="B1" s="73"/>
      <c r="C1" s="73"/>
      <c r="D1" s="73"/>
      <c r="E1" s="73"/>
      <c r="F1" s="73"/>
      <c r="G1" s="73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05" customHeight="1" x14ac:dyDescent="0.3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05" customHeight="1" x14ac:dyDescent="0.3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05" customHeight="1" x14ac:dyDescent="0.3">
      <c r="A5" s="18" t="s">
        <v>734</v>
      </c>
      <c r="B5" s="19" t="s">
        <v>735</v>
      </c>
      <c r="C5" s="20"/>
      <c r="D5" s="21" t="s">
        <v>10</v>
      </c>
      <c r="E5" s="22"/>
      <c r="F5" s="23"/>
      <c r="G5" s="24">
        <f t="shared" si="0"/>
        <v>0</v>
      </c>
    </row>
    <row r="6" spans="1:7" ht="16.05" customHeight="1" x14ac:dyDescent="0.3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05" customHeight="1" x14ac:dyDescent="0.3">
      <c r="A7" s="18" t="s">
        <v>738</v>
      </c>
      <c r="B7" s="19" t="s">
        <v>739</v>
      </c>
      <c r="C7" s="20"/>
      <c r="D7" s="21" t="s">
        <v>10</v>
      </c>
      <c r="E7" s="22"/>
      <c r="F7" s="23"/>
      <c r="G7" s="24">
        <f t="shared" si="0"/>
        <v>0</v>
      </c>
    </row>
    <row r="8" spans="1:7" ht="16.05" customHeight="1" x14ac:dyDescent="0.3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05" customHeight="1" x14ac:dyDescent="0.3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05" customHeight="1" x14ac:dyDescent="0.3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05" customHeight="1" x14ac:dyDescent="0.3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05" customHeight="1" x14ac:dyDescent="0.3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05" customHeight="1" x14ac:dyDescent="0.3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05" customHeight="1" x14ac:dyDescent="0.3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05" customHeight="1" x14ac:dyDescent="0.3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05" customHeight="1" x14ac:dyDescent="0.3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05" customHeight="1" x14ac:dyDescent="0.3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05" customHeight="1" x14ac:dyDescent="0.3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05" customHeight="1" x14ac:dyDescent="0.3">
      <c r="A19" s="18" t="s">
        <v>762</v>
      </c>
      <c r="B19" s="19" t="s">
        <v>763</v>
      </c>
      <c r="C19" s="20"/>
      <c r="D19" s="21" t="s">
        <v>10</v>
      </c>
      <c r="E19" s="22"/>
      <c r="F19" s="23"/>
      <c r="G19" s="24">
        <f t="shared" si="0"/>
        <v>0</v>
      </c>
    </row>
    <row r="20" spans="1:7" ht="16.05" customHeight="1" x14ac:dyDescent="0.3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05" customHeight="1" x14ac:dyDescent="0.3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05" customHeight="1" x14ac:dyDescent="0.3">
      <c r="A22" s="25" t="s">
        <v>768</v>
      </c>
      <c r="B22" s="26" t="s">
        <v>769</v>
      </c>
      <c r="C22" s="20"/>
      <c r="D22" s="21" t="s">
        <v>10</v>
      </c>
      <c r="E22" s="22"/>
      <c r="F22" s="23"/>
      <c r="G22" s="24">
        <f t="shared" si="0"/>
        <v>0</v>
      </c>
    </row>
    <row r="23" spans="1:7" ht="16.05" customHeight="1" x14ac:dyDescent="0.3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05" customHeight="1" x14ac:dyDescent="0.3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05" customHeight="1" x14ac:dyDescent="0.3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05" customHeight="1" x14ac:dyDescent="0.3">
      <c r="A26" s="25" t="s">
        <v>776</v>
      </c>
      <c r="B26" s="26" t="s">
        <v>777</v>
      </c>
      <c r="C26" s="20"/>
      <c r="D26" s="21" t="s">
        <v>10</v>
      </c>
      <c r="E26" s="22"/>
      <c r="F26" s="23"/>
      <c r="G26" s="24">
        <f t="shared" si="0"/>
        <v>0</v>
      </c>
    </row>
    <row r="27" spans="1:7" ht="16.05" customHeight="1" x14ac:dyDescent="0.3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05" customHeight="1" x14ac:dyDescent="0.3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05" customHeight="1" x14ac:dyDescent="0.3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05" customHeight="1" x14ac:dyDescent="0.3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05" customHeight="1" x14ac:dyDescent="0.3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05" customHeight="1" x14ac:dyDescent="0.3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05" customHeight="1" x14ac:dyDescent="0.3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05" customHeight="1" x14ac:dyDescent="0.3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05" customHeight="1" x14ac:dyDescent="0.3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05" customHeight="1" x14ac:dyDescent="0.3">
      <c r="A36" s="25" t="s">
        <v>796</v>
      </c>
      <c r="B36" s="26" t="s">
        <v>797</v>
      </c>
      <c r="C36" s="20"/>
      <c r="D36" s="21" t="s">
        <v>10</v>
      </c>
      <c r="E36" s="22"/>
      <c r="F36" s="23"/>
      <c r="G36" s="24">
        <f t="shared" si="1"/>
        <v>0</v>
      </c>
    </row>
    <row r="37" spans="1:7" ht="16.05" customHeight="1" x14ac:dyDescent="0.3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05" customHeight="1" x14ac:dyDescent="0.3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05" customHeight="1" x14ac:dyDescent="0.3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05" customHeight="1" x14ac:dyDescent="0.3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05" customHeight="1" x14ac:dyDescent="0.3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05" customHeight="1" x14ac:dyDescent="0.3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05" customHeight="1" x14ac:dyDescent="0.3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05" customHeight="1" x14ac:dyDescent="0.3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05" customHeight="1" x14ac:dyDescent="0.3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05" customHeight="1" x14ac:dyDescent="0.3">
      <c r="A46" s="25" t="s">
        <v>816</v>
      </c>
      <c r="B46" s="26" t="s">
        <v>817</v>
      </c>
      <c r="C46" s="20"/>
      <c r="D46" s="21" t="s">
        <v>10</v>
      </c>
      <c r="E46" s="22"/>
      <c r="F46" s="23"/>
      <c r="G46" s="24">
        <f t="shared" si="1"/>
        <v>0</v>
      </c>
    </row>
    <row r="47" spans="1:7" ht="16.05" customHeight="1" x14ac:dyDescent="0.3">
      <c r="A47" s="18" t="s">
        <v>818</v>
      </c>
      <c r="B47" s="19" t="s">
        <v>819</v>
      </c>
      <c r="C47" s="20"/>
      <c r="D47" s="21" t="s">
        <v>10</v>
      </c>
      <c r="E47" s="22"/>
      <c r="F47" s="23"/>
      <c r="G47" s="24">
        <f t="shared" si="1"/>
        <v>0</v>
      </c>
    </row>
    <row r="48" spans="1:7" ht="16.05" customHeight="1" x14ac:dyDescent="0.3">
      <c r="A48" s="25" t="s">
        <v>820</v>
      </c>
      <c r="B48" s="26" t="s">
        <v>821</v>
      </c>
      <c r="C48" s="20"/>
      <c r="D48" s="21" t="s">
        <v>10</v>
      </c>
      <c r="E48" s="22"/>
      <c r="F48" s="23"/>
      <c r="G48" s="24">
        <f t="shared" si="1"/>
        <v>0</v>
      </c>
    </row>
    <row r="49" spans="1:7" ht="16.05" customHeight="1" x14ac:dyDescent="0.3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05" customHeight="1" x14ac:dyDescent="0.3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05" customHeight="1" x14ac:dyDescent="0.3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05" customHeight="1" x14ac:dyDescent="0.3">
      <c r="A52" s="25" t="s">
        <v>828</v>
      </c>
      <c r="B52" s="26" t="s">
        <v>829</v>
      </c>
      <c r="C52" s="20"/>
      <c r="D52" s="21" t="s">
        <v>10</v>
      </c>
      <c r="E52" s="22"/>
      <c r="F52" s="23"/>
      <c r="G52" s="24">
        <f t="shared" si="1"/>
        <v>0</v>
      </c>
    </row>
    <row r="53" spans="1:7" ht="16.05" customHeight="1" x14ac:dyDescent="0.3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05" customHeight="1" x14ac:dyDescent="0.3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05" customHeight="1" x14ac:dyDescent="0.3">
      <c r="A55" s="18" t="s">
        <v>834</v>
      </c>
      <c r="B55" s="19" t="s">
        <v>835</v>
      </c>
      <c r="C55" s="20"/>
      <c r="D55" s="21" t="s">
        <v>10</v>
      </c>
      <c r="E55" s="22"/>
      <c r="F55" s="23"/>
      <c r="G55" s="24">
        <f t="shared" si="1"/>
        <v>0</v>
      </c>
    </row>
    <row r="56" spans="1:7" ht="16.05" customHeight="1" x14ac:dyDescent="0.3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05" customHeight="1" x14ac:dyDescent="0.3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05" customHeight="1" x14ac:dyDescent="0.3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05" customHeight="1" x14ac:dyDescent="0.3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05" customHeight="1" x14ac:dyDescent="0.3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05" customHeight="1" x14ac:dyDescent="0.3">
      <c r="A61" s="18" t="s">
        <v>846</v>
      </c>
      <c r="B61" s="19" t="s">
        <v>847</v>
      </c>
      <c r="C61" s="20"/>
      <c r="D61" s="21" t="s">
        <v>10</v>
      </c>
      <c r="E61" s="22"/>
      <c r="F61" s="23"/>
      <c r="G61" s="24">
        <f t="shared" si="1"/>
        <v>0</v>
      </c>
    </row>
    <row r="62" spans="1:7" ht="16.05" customHeight="1" x14ac:dyDescent="0.3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05" customHeight="1" x14ac:dyDescent="0.3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05" customHeight="1" x14ac:dyDescent="0.3">
      <c r="A64" s="25" t="s">
        <v>852</v>
      </c>
      <c r="B64" s="26" t="s">
        <v>853</v>
      </c>
      <c r="C64" s="20"/>
      <c r="D64" s="21"/>
      <c r="E64" s="22">
        <v>2</v>
      </c>
      <c r="F64" s="23"/>
      <c r="G64" s="24">
        <f t="shared" si="1"/>
        <v>2</v>
      </c>
    </row>
    <row r="65" spans="1:7" ht="16.05" customHeight="1" x14ac:dyDescent="0.3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05" customHeight="1" x14ac:dyDescent="0.3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05" customHeight="1" x14ac:dyDescent="0.3">
      <c r="A67" s="18" t="s">
        <v>858</v>
      </c>
      <c r="B67" s="19" t="s">
        <v>859</v>
      </c>
      <c r="C67" s="20"/>
      <c r="D67" s="21"/>
      <c r="E67" s="22">
        <v>1</v>
      </c>
      <c r="F67" s="23"/>
      <c r="G67" s="24">
        <f t="shared" ref="G67:G98" si="2">MAX(0,IF(E67="",0,E67)-IF(F67="",0,F67))</f>
        <v>1</v>
      </c>
    </row>
    <row r="68" spans="1:7" ht="16.05" customHeight="1" x14ac:dyDescent="0.3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05" customHeight="1" x14ac:dyDescent="0.3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05" customHeight="1" x14ac:dyDescent="0.3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05" customHeight="1" x14ac:dyDescent="0.3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05" customHeight="1" x14ac:dyDescent="0.3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05" customHeight="1" x14ac:dyDescent="0.3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05" customHeight="1" x14ac:dyDescent="0.3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05" customHeight="1" x14ac:dyDescent="0.3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05" customHeight="1" x14ac:dyDescent="0.3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05" customHeight="1" x14ac:dyDescent="0.3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05" customHeight="1" x14ac:dyDescent="0.3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05" customHeight="1" x14ac:dyDescent="0.3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05" customHeight="1" x14ac:dyDescent="0.3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05" customHeight="1" x14ac:dyDescent="0.3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05" customHeight="1" x14ac:dyDescent="0.3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2026-09-27T05:23:46Z</dcterms:modified>
</cp:coreProperties>
</file>