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6-27\"/>
    </mc:Choice>
  </mc:AlternateContent>
  <xr:revisionPtr revIDLastSave="0" documentId="13_ncr:1_{1139150A-C44D-4496-A02C-83C3C6D9C179}" xr6:coauthVersionLast="47" xr6:coauthVersionMax="47" xr10:uidLastSave="{00000000-0000-0000-0000-000000000000}"/>
  <bookViews>
    <workbookView xWindow="-108" yWindow="-108" windowWidth="23256" windowHeight="12456" firstSheet="9" activeTab="11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2" i="1" s="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3" i="1" s="1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7" i="1" s="1"/>
  <c r="G11" i="1" l="1"/>
  <c r="E30" i="1"/>
  <c r="C30" i="1"/>
  <c r="F30" i="1"/>
  <c r="D30" i="1"/>
  <c r="G30" i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<sst xmlns="http://schemas.openxmlformats.org/spreadsheetml/2006/main" count="2158" uniqueCount="891">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</sst>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  <xf numFmtId="0" fontId="10" fillId="47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workbookViewId="0">
      <selection activeCell="J23" sqref="J23"/>
    </sheetView>
  </sheetViews>
  <sheetFormatPr defaultRowHeight="14.4" x14ac:dyDescent="0.3"/>
  <cols>
    <col min="1" max="1" width="30" customWidth="1"/>
    <col min="2" max="7" width="12" customWidth="1"/>
  </cols>
  <sheetData>
    <row r="1" spans="1:7" ht="30" customHeight="1" x14ac:dyDescent="0.3">
      <c r="A1" s="75" t="s">
        <v>55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2" t="s">
        <v>59</v>
      </c>
      <c r="B3" s="3">
        <v>23</v>
      </c>
      <c r="C3" s="4">
        <f>COUNTIF('D. ALAVÉS'!C3:C25,"")</f>
        <v>7</v>
      </c>
      <c r="D3" s="5">
        <f>COUNTIF('D. ALAVÉS'!D3:D25,"X")</f>
        <v>4</v>
      </c>
      <c r="E3" s="6">
        <f>SUMIF('D. ALAVÉS'!E3:E25,"&gt;"&amp;0,'D. ALAVÉS'!E3:E25)</f>
        <v>16</v>
      </c>
      <c r="F3" s="7">
        <f>SUM('D. ALAVÉS'!F3:F25)</f>
        <v>13</v>
      </c>
      <c r="G3" s="8">
        <f>SUM('D. ALAVÉS'!G3:G25)</f>
        <v>3</v>
      </c>
    </row>
    <row r="4" spans="1:7" ht="16.05" customHeight="1" x14ac:dyDescent="0.3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14</v>
      </c>
      <c r="G4" s="8">
        <f>SUM('ATHLETIC CLUB'!G3:G26)</f>
        <v>3</v>
      </c>
    </row>
    <row r="5" spans="1:7" ht="16.05" customHeight="1" x14ac:dyDescent="0.3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05" customHeight="1" x14ac:dyDescent="0.3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12</v>
      </c>
      <c r="G6" s="8">
        <f>SUM('FC BARCELONA'!G3:G24)</f>
        <v>1</v>
      </c>
    </row>
    <row r="7" spans="1:7" ht="16.05" customHeight="1" x14ac:dyDescent="0.3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13</v>
      </c>
      <c r="F7" s="7">
        <f>SUM('REAL BETIS'!F3:F25)</f>
        <v>11</v>
      </c>
      <c r="G7" s="8">
        <f>SUM('REAL BETIS'!G3:G25)</f>
        <v>2</v>
      </c>
    </row>
    <row r="8" spans="1:7" ht="16.05" customHeight="1" x14ac:dyDescent="0.3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10</v>
      </c>
      <c r="G8" s="8">
        <f>SUM('RC CELTA DE VIGO'!G3:G26)</f>
        <v>1</v>
      </c>
    </row>
    <row r="9" spans="1:7" ht="16.05" customHeight="1" x14ac:dyDescent="0.3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05" customHeight="1" x14ac:dyDescent="0.3">
      <c r="A10" s="9" t="s">
        <v>65</v>
      </c>
      <c r="B10" s="10">
        <v>23</v>
      </c>
      <c r="C10" s="4">
        <f>COUNTIF('ELCHE CF'!C3:C25,"")</f>
        <v>7</v>
      </c>
      <c r="D10" s="5">
        <f>COUNTIF('ELCHE CF'!D3:D25,"X")</f>
        <v>2</v>
      </c>
      <c r="E10" s="6">
        <f>SUMIF('ELCHE CF'!E3:E25,"&gt;"&amp;0,'ELCHE CF'!E3:E25)</f>
        <v>15</v>
      </c>
      <c r="F10" s="7">
        <f>SUM('ELCHE CF'!F3:F25)</f>
        <v>13</v>
      </c>
      <c r="G10" s="8">
        <f>SUM('ELCHE CF'!G3:G25)</f>
        <v>2</v>
      </c>
    </row>
    <row r="11" spans="1:7" ht="16.05" customHeight="1" x14ac:dyDescent="0.3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16</v>
      </c>
      <c r="G11" s="8">
        <f>SUM('RCD ESPANYOL'!G3:G25)</f>
        <v>3</v>
      </c>
    </row>
    <row r="12" spans="1:7" ht="16.05" customHeight="1" x14ac:dyDescent="0.3">
      <c r="A12" s="9" t="s">
        <v>67</v>
      </c>
      <c r="B12" s="10">
        <v>21</v>
      </c>
      <c r="C12" s="4">
        <f>COUNTIF('GETAFE CF'!C3:C23,"")</f>
        <v>7</v>
      </c>
      <c r="D12" s="5">
        <f>COUNTIF('GETAFE CF'!D3:D23,"X")</f>
        <v>5</v>
      </c>
      <c r="E12" s="6">
        <f>SUMIF('GETAFE CF'!E3:E23,"&gt;"&amp;0,'GETAFE CF'!E3:E23)</f>
        <v>10</v>
      </c>
      <c r="F12" s="7">
        <f>SUM('GETAFE CF'!F3:F23)</f>
        <v>8</v>
      </c>
      <c r="G12" s="8">
        <f>SUM('GETAFE CF'!G3:G23)</f>
        <v>2</v>
      </c>
    </row>
    <row r="13" spans="1:7" ht="16.05" customHeight="1" x14ac:dyDescent="0.3">
      <c r="A13" s="2" t="s">
        <v>68</v>
      </c>
      <c r="B13" s="3">
        <v>24</v>
      </c>
      <c r="C13" s="4">
        <f>COUNTIF('LEVANTE UD'!C3:C26,"")</f>
        <v>9</v>
      </c>
      <c r="D13" s="5">
        <f>COUNTIF('LEVANTE UD'!D3:D26,"X")</f>
        <v>4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05" customHeight="1" x14ac:dyDescent="0.3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28</v>
      </c>
      <c r="G14" s="8">
        <f>SUM('REAL MADRID CF'!G3:G27)</f>
        <v>1</v>
      </c>
    </row>
    <row r="15" spans="1:7" ht="16.05" customHeight="1" x14ac:dyDescent="0.3">
      <c r="A15" s="2" t="s">
        <v>70</v>
      </c>
      <c r="B15" s="3">
        <v>22</v>
      </c>
      <c r="C15" s="4">
        <f>COUNTIF('MÁLAGA CF'!C3:C24,"")</f>
        <v>3</v>
      </c>
      <c r="D15" s="5">
        <f>COUNTIF('MÁLAGA CF'!D3:D24,"X")</f>
        <v>1</v>
      </c>
      <c r="E15" s="6">
        <f>SUMIF('MÁLAGA CF'!E3:E24,"&gt;"&amp;0,'MÁLAGA CF'!E3:E24)</f>
        <v>20</v>
      </c>
      <c r="F15" s="7">
        <f>SUM('MÁLAGA CF'!F3:F24)</f>
        <v>16</v>
      </c>
      <c r="G15" s="8">
        <f>SUM('MÁLAGA CF'!G3:G24)</f>
        <v>4</v>
      </c>
    </row>
    <row r="16" spans="1:7" ht="16.05" customHeight="1" x14ac:dyDescent="0.3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14</v>
      </c>
      <c r="F16" s="7">
        <f>SUM('CA OSASUNA'!F3:F25)</f>
        <v>11</v>
      </c>
      <c r="G16" s="8">
        <f>SUM('CA OSASUNA'!G3:G25)</f>
        <v>3</v>
      </c>
    </row>
    <row r="17" spans="1:7" ht="16.05" customHeight="1" x14ac:dyDescent="0.3">
      <c r="A17" s="2" t="s">
        <v>72</v>
      </c>
      <c r="B17" s="3">
        <v>25</v>
      </c>
      <c r="C17" s="4">
        <f>COUNTIF('R. RACING CLUB'!C3:C27,"")</f>
        <v>9</v>
      </c>
      <c r="D17" s="5">
        <f>COUNTIF('R. RACING CLUB'!D3:D27,"X")</f>
        <v>4</v>
      </c>
      <c r="E17" s="6">
        <f>SUMIF('R. RACING CLUB'!E3:E27,"&gt;"&amp;0,'R. RACING CLUB'!E3:E27)</f>
        <v>18</v>
      </c>
      <c r="F17" s="7">
        <f>SUM('R. RACING CLUB'!F3:F27)</f>
        <v>17</v>
      </c>
      <c r="G17" s="8">
        <f>SUM('R. RACING CLUB'!G3:G27)</f>
        <v>1</v>
      </c>
    </row>
    <row r="18" spans="1:7" ht="16.05" customHeight="1" x14ac:dyDescent="0.3">
      <c r="A18" s="9" t="s">
        <v>73</v>
      </c>
      <c r="B18" s="10">
        <v>23</v>
      </c>
      <c r="C18" s="4">
        <f>COUNTIF('RAYO VALLECANO'!C3:C25,"")</f>
        <v>6</v>
      </c>
      <c r="D18" s="5">
        <f>COUNTIF('RAYO VALLECANO'!D3:D25,"X")</f>
        <v>3</v>
      </c>
      <c r="E18" s="6">
        <f>SUMIF('RAYO VALLECANO'!E3:E25,"&gt;"&amp;0,'RAYO VALLECANO'!E3:E25)</f>
        <v>13</v>
      </c>
      <c r="F18" s="7">
        <f>SUM('RAYO VALLECANO'!F3:F25)</f>
        <v>11</v>
      </c>
      <c r="G18" s="8">
        <f>SUM('RAYO VALLECANO'!G3:G25)</f>
        <v>2</v>
      </c>
    </row>
    <row r="19" spans="1:7" ht="16.05" customHeight="1" x14ac:dyDescent="0.3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05" customHeight="1" x14ac:dyDescent="0.3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05" customHeight="1" x14ac:dyDescent="0.3">
      <c r="A21" s="2" t="s">
        <v>76</v>
      </c>
      <c r="B21" s="3">
        <v>24</v>
      </c>
      <c r="C21" s="4">
        <f>COUNTIF('VALENCIA CF'!C3:C26,"")</f>
        <v>5</v>
      </c>
      <c r="D21" s="5">
        <f>COUNTIF('VALENCIA CF'!D3:D26,"X")</f>
        <v>2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05" customHeight="1" x14ac:dyDescent="0.3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10</v>
      </c>
      <c r="G22" s="8">
        <f>SUM('VILLARREAL CF'!G3:G26)</f>
        <v>4</v>
      </c>
    </row>
    <row r="23" spans="1:7" ht="16.05" customHeight="1" x14ac:dyDescent="0.3">
      <c r="A23" s="2" t="s">
        <v>78</v>
      </c>
      <c r="B23" s="3">
        <v>15</v>
      </c>
      <c r="C23" s="4">
        <f>COUNTIF('ADN - LALIGA PRIME'!C3:C17,"")</f>
        <v>2</v>
      </c>
      <c r="D23" s="5">
        <f>COUNTIF('ADN - LALIGA PRIME'!D3:D17,"X")</f>
        <v>2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05" customHeight="1" x14ac:dyDescent="0.3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1</v>
      </c>
      <c r="G24" s="8">
        <f>SUM('LALIGA FANTASY'!G3:G11)</f>
        <v>3</v>
      </c>
    </row>
    <row r="25" spans="1:7" ht="16.05" customHeight="1" x14ac:dyDescent="0.3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9</v>
      </c>
      <c r="G25" s="8">
        <f>SUM('DRAFT 23'!G3:G25)</f>
        <v>1</v>
      </c>
    </row>
    <row r="26" spans="1:7" ht="16.05" customHeight="1" x14ac:dyDescent="0.3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2</v>
      </c>
      <c r="G26" s="8">
        <f>SUM('DRAFT 23 KROMIX'!G3:G25)</f>
        <v>3</v>
      </c>
    </row>
    <row r="27" spans="1:7" ht="16.05" customHeight="1" x14ac:dyDescent="0.3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05" customHeight="1" x14ac:dyDescent="0.3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29</v>
      </c>
      <c r="G28" s="8">
        <f>SUM('CHICLE LIGA 2627'!G3:G82)</f>
        <v>6</v>
      </c>
    </row>
    <row r="29" spans="1:7" ht="16.05" customHeight="1" x14ac:dyDescent="0.3">
      <c r="A29" s="27" t="s">
        <v>84</v>
      </c>
      <c r="B29" s="28">
        <v>40</v>
      </c>
      <c r="C29" s="29">
        <f>COUNTIF('ÚLTIMOS FICHAJES'!C3:C42,"")</f>
        <v>35</v>
      </c>
      <c r="D29" s="30">
        <f>COUNTIF('ÚLTIMOS FICHAJES'!D3:D42,"X")</f>
        <v>35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3">
      <c r="A30" s="11" t="s">
        <v>85</v>
      </c>
      <c r="B30" s="12">
        <f t="shared" ref="B30:G30" si="0">SUM(B3:B29)</f>
        <v>670</v>
      </c>
      <c r="C30" s="13">
        <f t="shared" si="0"/>
        <v>182</v>
      </c>
      <c r="D30" s="14">
        <f t="shared" si="0"/>
        <v>77</v>
      </c>
      <c r="E30" s="15">
        <f t="shared" si="0"/>
        <v>365</v>
      </c>
      <c r="F30" s="16">
        <f t="shared" si="0"/>
        <v>320</v>
      </c>
      <c r="G30" s="17">
        <f t="shared" si="0"/>
        <v>45</v>
      </c>
    </row>
    <row r="31" spans="1:7" x14ac:dyDescent="0.3">
      <c r="A31" s="74"/>
      <c r="B31" s="74"/>
      <c r="C31" s="74"/>
      <c r="D31" s="74"/>
      <c r="E31" s="74"/>
      <c r="F31" s="74"/>
      <c r="G31" s="74"/>
    </row>
    <row r="32" spans="1:7" x14ac:dyDescent="0.3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6" t="s">
        <v>59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87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93</v>
      </c>
      <c r="C9" s="97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05" customHeight="1" x14ac:dyDescent="0.3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99</v>
      </c>
      <c r="C14" s="97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101</v>
      </c>
      <c r="C16" s="97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1</v>
      </c>
      <c r="G20" s="64">
        <f t="shared" si="0"/>
        <v>1</v>
      </c>
    </row>
    <row r="21" spans="1:7" ht="16.05" customHeight="1" x14ac:dyDescent="0.3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51</v>
      </c>
      <c r="B23" s="59" t="s">
        <v>109</v>
      </c>
      <c r="C23" s="97" t="s">
        <v>10</v>
      </c>
      <c r="D23" s="61"/>
      <c r="E23" s="62">
        <v>2</v>
      </c>
      <c r="F23" s="63">
        <v>1</v>
      </c>
      <c r="G23" s="64">
        <f t="shared" si="0"/>
        <v>1</v>
      </c>
    </row>
    <row r="24" spans="1:7" ht="16.05" customHeight="1" x14ac:dyDescent="0.3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6" activePane="bottomLeft" state="frozen"/>
      <selection pane="bottomLeft" activeCell="F23" sqref="F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7" t="s">
        <v>60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05" customHeight="1" x14ac:dyDescent="0.3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05" customHeight="1" x14ac:dyDescent="0.3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05" customHeight="1" x14ac:dyDescent="0.3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05" customHeight="1" x14ac:dyDescent="0.3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05" customHeight="1" x14ac:dyDescent="0.3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05" customHeight="1" x14ac:dyDescent="0.3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05" customHeight="1" x14ac:dyDescent="0.3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05" customHeight="1" x14ac:dyDescent="0.3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05" customHeight="1" x14ac:dyDescent="0.3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05" customHeight="1" x14ac:dyDescent="0.3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05" customHeight="1" x14ac:dyDescent="0.3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05" customHeight="1" x14ac:dyDescent="0.3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05" customHeight="1" x14ac:dyDescent="0.3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05" customHeight="1" x14ac:dyDescent="0.3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05" customHeight="1" x14ac:dyDescent="0.3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05" customHeight="1" x14ac:dyDescent="0.3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05" customHeight="1" x14ac:dyDescent="0.3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05" customHeight="1" x14ac:dyDescent="0.3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05" customHeight="1" x14ac:dyDescent="0.3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05" customHeight="1" x14ac:dyDescent="0.3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05" customHeight="1" x14ac:dyDescent="0.3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05" customHeight="1" x14ac:dyDescent="0.3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/>
      <c r="G26" s="40">
        <f t="shared" si="0"/>
        <v>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7" t="s">
        <v>61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05" customHeight="1" x14ac:dyDescent="0.3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05" customHeight="1" x14ac:dyDescent="0.3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47</v>
      </c>
      <c r="B23" s="59" t="s">
        <v>167</v>
      </c>
      <c r="C23" s="97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51</v>
      </c>
      <c r="B25" s="73" t="s">
        <v>890</v>
      </c>
      <c r="C25" s="97" t="s">
        <v>10</v>
      </c>
      <c r="D25" s="72"/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62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05" customHeight="1" x14ac:dyDescent="0.3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05" customHeight="1" x14ac:dyDescent="0.3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05" customHeight="1" x14ac:dyDescent="0.3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1</v>
      </c>
      <c r="G14" s="64">
        <f t="shared" si="0"/>
        <v>1</v>
      </c>
    </row>
    <row r="15" spans="1:7" ht="16.05" customHeight="1" x14ac:dyDescent="0.3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3" activePane="bottomLeft" state="frozen"/>
      <selection pane="bottomLeft" activeCell="D6" sqref="D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0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97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17</v>
      </c>
      <c r="B7" s="59" t="s">
        <v>18</v>
      </c>
      <c r="C7" s="97" t="s">
        <v>10</v>
      </c>
      <c r="D7" s="72"/>
      <c r="E7" s="62"/>
      <c r="F7" s="63"/>
      <c r="G7" s="64">
        <f t="shared" si="0"/>
        <v>0</v>
      </c>
    </row>
    <row r="8" spans="1:7" ht="16.05" customHeight="1" x14ac:dyDescent="0.3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05" customHeight="1" x14ac:dyDescent="0.3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39</v>
      </c>
      <c r="B18" s="66" t="s">
        <v>40</v>
      </c>
      <c r="C18" s="60"/>
      <c r="D18" s="61" t="s">
        <v>10</v>
      </c>
      <c r="E18" s="62">
        <v>2</v>
      </c>
      <c r="F18" s="63">
        <v>1</v>
      </c>
      <c r="G18" s="64">
        <f t="shared" si="0"/>
        <v>1</v>
      </c>
    </row>
    <row r="19" spans="1:7" ht="16.05" customHeight="1" x14ac:dyDescent="0.3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1</v>
      </c>
      <c r="G19" s="64">
        <f t="shared" si="0"/>
        <v>1</v>
      </c>
    </row>
    <row r="20" spans="1:7" ht="16.05" customHeight="1" x14ac:dyDescent="0.3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12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63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192</v>
      </c>
      <c r="C4" s="97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193</v>
      </c>
      <c r="C5" s="97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195</v>
      </c>
      <c r="C7" s="97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4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64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05" customHeight="1" x14ac:dyDescent="0.3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123</v>
      </c>
      <c r="B12" s="66" t="s">
        <v>226</v>
      </c>
      <c r="C12" s="97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238</v>
      </c>
      <c r="C24" s="97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5" activePane="bottomLeft" state="frozen"/>
      <selection pane="bottomLeft" activeCell="E21" sqref="E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65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05" customHeight="1" x14ac:dyDescent="0.3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05" customHeight="1" x14ac:dyDescent="0.3">
      <c r="A5" s="34" t="s">
        <v>241</v>
      </c>
      <c r="B5" s="50" t="s">
        <v>242</v>
      </c>
      <c r="C5" s="43"/>
      <c r="D5" s="47" t="s">
        <v>10</v>
      </c>
      <c r="E5" s="45"/>
      <c r="F5" s="46"/>
      <c r="G5" s="40">
        <f t="shared" si="0"/>
        <v>0</v>
      </c>
    </row>
    <row r="6" spans="1:7" ht="16.05" customHeight="1" x14ac:dyDescent="0.3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05" customHeight="1" x14ac:dyDescent="0.3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05" customHeight="1" x14ac:dyDescent="0.3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05" customHeight="1" x14ac:dyDescent="0.3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05" customHeight="1" x14ac:dyDescent="0.3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05" customHeight="1" x14ac:dyDescent="0.3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05" customHeight="1" x14ac:dyDescent="0.3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05" customHeight="1" x14ac:dyDescent="0.3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05" customHeight="1" x14ac:dyDescent="0.3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05" customHeight="1" x14ac:dyDescent="0.3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05" customHeight="1" x14ac:dyDescent="0.3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05" customHeight="1" x14ac:dyDescent="0.3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05" customHeight="1" x14ac:dyDescent="0.3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05" customHeight="1" x14ac:dyDescent="0.3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05" customHeight="1" x14ac:dyDescent="0.3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05" customHeight="1" x14ac:dyDescent="0.3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2</v>
      </c>
      <c r="G21" s="40">
        <f t="shared" si="0"/>
        <v>2</v>
      </c>
    </row>
    <row r="22" spans="1:7" ht="16.05" customHeight="1" x14ac:dyDescent="0.3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05" customHeight="1" x14ac:dyDescent="0.3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05" customHeight="1" x14ac:dyDescent="0.3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05" customHeight="1" x14ac:dyDescent="0.3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5" activePane="bottomLeft" state="frozen"/>
      <selection pane="bottomLeft" activeCell="D14" sqref="D1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66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31</v>
      </c>
      <c r="B14" s="66" t="s">
        <v>277</v>
      </c>
      <c r="C14" s="97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1</v>
      </c>
      <c r="G15" s="64">
        <f t="shared" si="0"/>
        <v>1</v>
      </c>
    </row>
    <row r="16" spans="1:7" ht="16.05" customHeight="1" x14ac:dyDescent="0.3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E11" sqref="E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67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/>
      <c r="G3" s="64">
        <f t="shared" ref="G3:G23" si="0">MAX(0,IF(E3="",0,E3)-IF(F3="",0,F3))</f>
        <v>1</v>
      </c>
    </row>
    <row r="4" spans="1:7" ht="16.05" customHeight="1" x14ac:dyDescent="0.3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291</v>
      </c>
      <c r="C5" s="97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/>
      <c r="G11" s="64">
        <f t="shared" si="0"/>
        <v>1</v>
      </c>
    </row>
    <row r="12" spans="1:7" ht="16.05" customHeight="1" x14ac:dyDescent="0.3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05" customHeight="1" x14ac:dyDescent="0.3">
      <c r="A16" s="65" t="s">
        <v>41</v>
      </c>
      <c r="B16" s="66" t="s">
        <v>302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05" customHeight="1" x14ac:dyDescent="0.3">
      <c r="A18" s="65" t="s">
        <v>45</v>
      </c>
      <c r="B18" s="66" t="s">
        <v>304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05" customHeight="1" x14ac:dyDescent="0.3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tabSelected="1" workbookViewId="0">
      <pane ySplit="2" topLeftCell="A4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68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97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316</v>
      </c>
      <c r="C10" s="97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317</v>
      </c>
      <c r="C11" s="97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322</v>
      </c>
      <c r="C16" s="60"/>
      <c r="D16" s="61" t="s">
        <v>10</v>
      </c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111</v>
      </c>
      <c r="B26" s="66" t="s">
        <v>332</v>
      </c>
      <c r="C26" s="97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5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5" t="s">
        <v>69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05" customHeight="1" x14ac:dyDescent="0.3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37</v>
      </c>
      <c r="B16" s="66" t="s">
        <v>348</v>
      </c>
      <c r="C16" s="97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350</v>
      </c>
      <c r="C18" s="97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05" customHeight="1" x14ac:dyDescent="0.3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05" customHeight="1" x14ac:dyDescent="0.3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355</v>
      </c>
      <c r="B21" s="59" t="s">
        <v>356</v>
      </c>
      <c r="C21" s="60"/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05" customHeight="1" x14ac:dyDescent="0.3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05" customHeight="1" x14ac:dyDescent="0.3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05" customHeight="1" x14ac:dyDescent="0.3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05" customHeight="1" x14ac:dyDescent="0.3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D10" sqref="D1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70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05" customHeight="1" x14ac:dyDescent="0.3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371</v>
      </c>
      <c r="C10" s="97" t="s">
        <v>10</v>
      </c>
      <c r="D10" s="61"/>
      <c r="E10" s="62">
        <v>3</v>
      </c>
      <c r="F10" s="63">
        <v>2</v>
      </c>
      <c r="G10" s="64">
        <f t="shared" si="0"/>
        <v>1</v>
      </c>
    </row>
    <row r="11" spans="1:7" ht="16.05" customHeight="1" x14ac:dyDescent="0.3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05" customHeight="1" x14ac:dyDescent="0.3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374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254</v>
      </c>
      <c r="B16" s="66" t="s">
        <v>377</v>
      </c>
      <c r="C16" s="97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05" customHeight="1" x14ac:dyDescent="0.3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05" customHeight="1" x14ac:dyDescent="0.3">
      <c r="A19" s="58" t="s">
        <v>43</v>
      </c>
      <c r="B19" s="59" t="s">
        <v>380</v>
      </c>
      <c r="C19" s="97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1</v>
      </c>
      <c r="G22" s="64">
        <f t="shared" si="0"/>
        <v>1</v>
      </c>
    </row>
    <row r="23" spans="1:7" ht="16.05" customHeight="1" x14ac:dyDescent="0.3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3" activePane="bottomLeft" state="frozen"/>
      <selection pane="bottomLeft" activeCell="D15" sqref="D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7" t="s">
        <v>71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1</v>
      </c>
      <c r="G3" s="64">
        <f t="shared" ref="G3:G25" si="0">MAX(0,IF(E3="",0,E3)-IF(F3="",0,F3))</f>
        <v>1</v>
      </c>
    </row>
    <row r="4" spans="1:7" ht="16.05" customHeight="1" x14ac:dyDescent="0.3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05" customHeight="1" x14ac:dyDescent="0.3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05" customHeight="1" x14ac:dyDescent="0.3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/>
      <c r="G12" s="64">
        <f t="shared" si="0"/>
        <v>1</v>
      </c>
    </row>
    <row r="13" spans="1:7" ht="16.05" customHeight="1" x14ac:dyDescent="0.3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397</v>
      </c>
      <c r="C15" s="97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D13" sqref="D1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72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05" customHeight="1" x14ac:dyDescent="0.3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/>
      <c r="G6" s="64">
        <f t="shared" si="0"/>
        <v>1</v>
      </c>
    </row>
    <row r="7" spans="1:7" ht="16.05" customHeight="1" x14ac:dyDescent="0.3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270</v>
      </c>
      <c r="B9" s="59" t="s">
        <v>413</v>
      </c>
      <c r="C9" s="60"/>
      <c r="D9" s="72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123</v>
      </c>
      <c r="B13" s="59" t="s">
        <v>417</v>
      </c>
      <c r="C13" s="97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05" customHeight="1" x14ac:dyDescent="0.3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05" customHeight="1" x14ac:dyDescent="0.3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05" customHeight="1" x14ac:dyDescent="0.3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4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6" t="s">
        <v>73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39</v>
      </c>
      <c r="B18" s="66" t="s">
        <v>448</v>
      </c>
      <c r="C18" s="97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451</v>
      </c>
      <c r="C21" s="97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452</v>
      </c>
      <c r="C22" s="97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453</v>
      </c>
      <c r="C23" s="60"/>
      <c r="D23" s="61" t="s">
        <v>10</v>
      </c>
      <c r="E23" s="62">
        <v>1</v>
      </c>
      <c r="F23" s="63"/>
      <c r="G23" s="64">
        <f t="shared" si="0"/>
        <v>1</v>
      </c>
    </row>
    <row r="24" spans="1:7" ht="16.05" customHeight="1" x14ac:dyDescent="0.3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/>
      <c r="G25" s="6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74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05" customHeight="1" x14ac:dyDescent="0.3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05" customHeight="1" x14ac:dyDescent="0.3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05" customHeight="1" x14ac:dyDescent="0.3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05" customHeight="1" x14ac:dyDescent="0.3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05" customHeight="1" x14ac:dyDescent="0.3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05" customHeight="1" x14ac:dyDescent="0.3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05" customHeight="1" x14ac:dyDescent="0.3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05" customHeight="1" x14ac:dyDescent="0.3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05" customHeight="1" x14ac:dyDescent="0.3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05" customHeight="1" x14ac:dyDescent="0.3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05" customHeight="1" x14ac:dyDescent="0.3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05" customHeight="1" x14ac:dyDescent="0.3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05" customHeight="1" x14ac:dyDescent="0.3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05" customHeight="1" x14ac:dyDescent="0.3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05" customHeight="1" x14ac:dyDescent="0.3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05" customHeight="1" x14ac:dyDescent="0.3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05" customHeight="1" x14ac:dyDescent="0.3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05" customHeight="1" x14ac:dyDescent="0.3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05" customHeight="1" x14ac:dyDescent="0.3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3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7" t="s">
        <v>75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476</v>
      </c>
      <c r="C4" s="97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481</v>
      </c>
      <c r="C9" s="97" t="s">
        <v>10</v>
      </c>
      <c r="D9" s="72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39</v>
      </c>
      <c r="B18" s="66" t="s">
        <v>490</v>
      </c>
      <c r="C18" s="97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43</v>
      </c>
      <c r="B20" s="66" t="s">
        <v>492</v>
      </c>
      <c r="C20" s="97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05" customHeight="1" x14ac:dyDescent="0.3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6" activePane="bottomLeft" state="frozen"/>
      <selection pane="bottomLeft" activeCell="C25" sqref="C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8" t="s">
        <v>76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05" customHeight="1" x14ac:dyDescent="0.3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05" customHeight="1" x14ac:dyDescent="0.3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05" customHeight="1" x14ac:dyDescent="0.3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05" customHeight="1" x14ac:dyDescent="0.3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05" customHeight="1" x14ac:dyDescent="0.3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05" customHeight="1" x14ac:dyDescent="0.3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05" customHeight="1" x14ac:dyDescent="0.3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05" customHeight="1" x14ac:dyDescent="0.3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05" customHeight="1" x14ac:dyDescent="0.3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05" customHeight="1" x14ac:dyDescent="0.3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05" customHeight="1" x14ac:dyDescent="0.3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05" customHeight="1" x14ac:dyDescent="0.3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05" customHeight="1" x14ac:dyDescent="0.3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05" customHeight="1" x14ac:dyDescent="0.3">
      <c r="A18" s="41" t="s">
        <v>43</v>
      </c>
      <c r="B18" s="42" t="s">
        <v>513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05" customHeight="1" x14ac:dyDescent="0.3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05" customHeight="1" x14ac:dyDescent="0.3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05" customHeight="1" x14ac:dyDescent="0.3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05" customHeight="1" x14ac:dyDescent="0.3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05" customHeight="1" x14ac:dyDescent="0.3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05" customHeight="1" x14ac:dyDescent="0.3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05" customHeight="1" x14ac:dyDescent="0.3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05" customHeight="1" x14ac:dyDescent="0.3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9" t="s">
        <v>77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1</v>
      </c>
      <c r="G3" s="40">
        <f t="shared" ref="G3:G26" si="0">MAX(0,IF(E3="",0,E3)-IF(F3="",0,F3))</f>
        <v>1</v>
      </c>
    </row>
    <row r="4" spans="1:7" ht="16.05" customHeight="1" x14ac:dyDescent="0.3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05" customHeight="1" x14ac:dyDescent="0.3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05" customHeight="1" x14ac:dyDescent="0.3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05" customHeight="1" x14ac:dyDescent="0.3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05" customHeight="1" x14ac:dyDescent="0.3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05" customHeight="1" x14ac:dyDescent="0.3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05" customHeight="1" x14ac:dyDescent="0.3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05" customHeight="1" x14ac:dyDescent="0.3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05" customHeight="1" x14ac:dyDescent="0.3">
      <c r="A12" s="41" t="s">
        <v>533</v>
      </c>
      <c r="B12" s="42" t="s">
        <v>534</v>
      </c>
      <c r="C12" s="36"/>
      <c r="D12" s="37"/>
      <c r="E12" s="38">
        <v>1</v>
      </c>
      <c r="F12" s="39"/>
      <c r="G12" s="40">
        <f t="shared" si="0"/>
        <v>1</v>
      </c>
    </row>
    <row r="13" spans="1:7" ht="16.05" customHeight="1" x14ac:dyDescent="0.3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05" customHeight="1" x14ac:dyDescent="0.3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05" customHeight="1" x14ac:dyDescent="0.3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05" customHeight="1" x14ac:dyDescent="0.3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05" customHeight="1" x14ac:dyDescent="0.3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05" customHeight="1" x14ac:dyDescent="0.3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05" customHeight="1" x14ac:dyDescent="0.3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05" customHeight="1" x14ac:dyDescent="0.3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05" customHeight="1" x14ac:dyDescent="0.3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05" customHeight="1" x14ac:dyDescent="0.3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05" customHeight="1" x14ac:dyDescent="0.3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05" customHeight="1" x14ac:dyDescent="0.3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05" customHeight="1" x14ac:dyDescent="0.3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05" customHeight="1" x14ac:dyDescent="0.3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/>
      <c r="G26" s="40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3" activePane="bottomLeft" state="frozen"/>
      <selection pane="bottomLeft" activeCell="D3" sqref="D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0" t="s">
        <v>549</v>
      </c>
      <c r="B1" s="74"/>
      <c r="C1" s="74"/>
      <c r="D1" s="74"/>
      <c r="E1" s="74"/>
      <c r="F1" s="74"/>
      <c r="G1" s="74"/>
    </row>
    <row r="2" spans="1:7" ht="18" customHeight="1" x14ac:dyDescent="0.3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05" customHeight="1" x14ac:dyDescent="0.3">
      <c r="A3" s="58" t="s">
        <v>550</v>
      </c>
      <c r="B3" s="59" t="s">
        <v>551</v>
      </c>
      <c r="C3" s="97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05" customHeight="1" x14ac:dyDescent="0.3">
      <c r="A4" s="65" t="s">
        <v>552</v>
      </c>
      <c r="B4" s="66" t="s">
        <v>553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556</v>
      </c>
      <c r="B6" s="66" t="s">
        <v>557</v>
      </c>
      <c r="C6" s="60"/>
      <c r="D6" s="61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558</v>
      </c>
      <c r="B7" s="59" t="s">
        <v>559</v>
      </c>
      <c r="C7" s="60"/>
      <c r="D7" s="61" t="s">
        <v>10</v>
      </c>
      <c r="E7" s="62"/>
      <c r="F7" s="63"/>
      <c r="G7" s="64">
        <f t="shared" si="0"/>
        <v>0</v>
      </c>
    </row>
    <row r="8" spans="1:7" ht="16.05" customHeight="1" x14ac:dyDescent="0.3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05" customHeight="1" x14ac:dyDescent="0.3">
      <c r="A9" s="58" t="s">
        <v>562</v>
      </c>
      <c r="B9" s="59" t="s">
        <v>563</v>
      </c>
      <c r="C9" s="60"/>
      <c r="D9" s="61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05" customHeight="1" x14ac:dyDescent="0.3">
      <c r="A11" s="58" t="s">
        <v>566</v>
      </c>
      <c r="B11" s="59" t="s">
        <v>567</v>
      </c>
      <c r="C11" s="60"/>
      <c r="D11" s="61" t="s">
        <v>10</v>
      </c>
      <c r="E11" s="62"/>
      <c r="F11" s="63"/>
      <c r="G11" s="64">
        <f t="shared" si="0"/>
        <v>0</v>
      </c>
    </row>
    <row r="12" spans="1:7" ht="16.05" customHeight="1" x14ac:dyDescent="0.3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574</v>
      </c>
      <c r="B15" s="59" t="s">
        <v>575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05" customHeight="1" x14ac:dyDescent="0.3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578</v>
      </c>
      <c r="B17" s="59" t="s">
        <v>579</v>
      </c>
      <c r="C17" s="97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05" customHeight="1" x14ac:dyDescent="0.3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05" customHeight="1" x14ac:dyDescent="0.3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05" customHeight="1" x14ac:dyDescent="0.3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05" customHeight="1" x14ac:dyDescent="0.3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05" customHeight="1" x14ac:dyDescent="0.3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05" customHeight="1" x14ac:dyDescent="0.3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05" customHeight="1" x14ac:dyDescent="0.3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05" customHeight="1" x14ac:dyDescent="0.3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05" customHeight="1" x14ac:dyDescent="0.3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05" customHeight="1" x14ac:dyDescent="0.3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05" customHeight="1" x14ac:dyDescent="0.3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05" customHeight="1" x14ac:dyDescent="0.3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05" customHeight="1" x14ac:dyDescent="0.3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05" customHeight="1" x14ac:dyDescent="0.3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05" customHeight="1" x14ac:dyDescent="0.3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05" customHeight="1" x14ac:dyDescent="0.3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05" customHeight="1" x14ac:dyDescent="0.3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05" customHeight="1" x14ac:dyDescent="0.3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05" customHeight="1" x14ac:dyDescent="0.3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05" customHeight="1" x14ac:dyDescent="0.3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1" t="s">
        <v>78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05" customHeight="1" x14ac:dyDescent="0.3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05" customHeight="1" x14ac:dyDescent="0.3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05" customHeight="1" x14ac:dyDescent="0.3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05" customHeight="1" x14ac:dyDescent="0.3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05" customHeight="1" x14ac:dyDescent="0.3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05" customHeight="1" x14ac:dyDescent="0.3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05" customHeight="1" x14ac:dyDescent="0.3">
      <c r="A10" s="25" t="s">
        <v>27</v>
      </c>
      <c r="B10" s="26" t="s">
        <v>637</v>
      </c>
      <c r="C10" s="20"/>
      <c r="D10" s="21" t="s">
        <v>10</v>
      </c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41</v>
      </c>
      <c r="B16" s="26" t="s">
        <v>643</v>
      </c>
      <c r="C16" s="20"/>
      <c r="D16" s="21" t="s">
        <v>10</v>
      </c>
      <c r="E16" s="22"/>
      <c r="F16" s="23"/>
      <c r="G16" s="24">
        <f t="shared" si="0"/>
        <v>0</v>
      </c>
    </row>
    <row r="17" spans="1:7" ht="16.05" customHeight="1" x14ac:dyDescent="0.3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D6" sqref="D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2" t="s">
        <v>79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05" customHeight="1" x14ac:dyDescent="0.3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05" customHeight="1" x14ac:dyDescent="0.3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/>
      <c r="G5" s="24">
        <f t="shared" si="0"/>
        <v>1</v>
      </c>
    </row>
    <row r="6" spans="1:7" ht="16.05" customHeight="1" x14ac:dyDescent="0.3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/>
      <c r="G9" s="24">
        <f t="shared" si="0"/>
        <v>1</v>
      </c>
    </row>
    <row r="10" spans="1:7" ht="16.05" customHeight="1" x14ac:dyDescent="0.3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/>
      <c r="G11" s="2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3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3" t="s">
        <v>80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05" customHeight="1" x14ac:dyDescent="0.3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05" customHeight="1" x14ac:dyDescent="0.3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05" customHeight="1" x14ac:dyDescent="0.3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/>
      <c r="G16" s="24">
        <f t="shared" si="0"/>
        <v>1</v>
      </c>
    </row>
    <row r="17" spans="1:7" ht="16.05" customHeight="1" x14ac:dyDescent="0.3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05" customHeight="1" x14ac:dyDescent="0.3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05" customHeight="1" x14ac:dyDescent="0.3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05" customHeight="1" x14ac:dyDescent="0.3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05" customHeight="1" x14ac:dyDescent="0.3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05" customHeight="1" x14ac:dyDescent="0.3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05" customHeight="1" x14ac:dyDescent="0.3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D21" sqref="D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4" t="s">
        <v>81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05" customHeight="1" x14ac:dyDescent="0.3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/>
      <c r="G4" s="24">
        <f t="shared" si="0"/>
        <v>1</v>
      </c>
    </row>
    <row r="5" spans="1:7" ht="16.05" customHeight="1" x14ac:dyDescent="0.3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05" customHeight="1" x14ac:dyDescent="0.3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/>
      <c r="G14" s="24">
        <f t="shared" si="0"/>
        <v>1</v>
      </c>
    </row>
    <row r="15" spans="1:7" ht="16.05" customHeight="1" x14ac:dyDescent="0.3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05" customHeight="1" x14ac:dyDescent="0.3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05" customHeight="1" x14ac:dyDescent="0.3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05" customHeight="1" x14ac:dyDescent="0.3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05" customHeight="1" x14ac:dyDescent="0.3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/>
      <c r="G23" s="24">
        <f t="shared" si="0"/>
        <v>1</v>
      </c>
    </row>
    <row r="24" spans="1:7" ht="16.05" customHeight="1" x14ac:dyDescent="0.3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05" customHeight="1" x14ac:dyDescent="0.3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5" t="s">
        <v>82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05" customHeight="1" x14ac:dyDescent="0.3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workbookViewId="0">
      <pane ySplit="2" topLeftCell="A45" activePane="bottomLeft" state="frozen"/>
      <selection pane="bottomLeft" activeCell="D61" sqref="D6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6" t="s">
        <v>729</v>
      </c>
      <c r="B1" s="74"/>
      <c r="C1" s="74"/>
      <c r="D1" s="74"/>
      <c r="E1" s="74"/>
      <c r="F1" s="74"/>
      <c r="G1" s="74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05" customHeight="1" x14ac:dyDescent="0.3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05" customHeight="1" x14ac:dyDescent="0.3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05" customHeight="1" x14ac:dyDescent="0.3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05" customHeight="1" x14ac:dyDescent="0.3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05" customHeight="1" x14ac:dyDescent="0.3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05" customHeight="1" x14ac:dyDescent="0.3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05" customHeight="1" x14ac:dyDescent="0.3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05" customHeight="1" x14ac:dyDescent="0.3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05" customHeight="1" x14ac:dyDescent="0.3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05" customHeight="1" x14ac:dyDescent="0.3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05" customHeight="1" x14ac:dyDescent="0.3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05" customHeight="1" x14ac:dyDescent="0.3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05" customHeight="1" x14ac:dyDescent="0.3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05" customHeight="1" x14ac:dyDescent="0.3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05" customHeight="1" x14ac:dyDescent="0.3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05" customHeight="1" x14ac:dyDescent="0.3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05" customHeight="1" x14ac:dyDescent="0.3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05" customHeight="1" x14ac:dyDescent="0.3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05" customHeight="1" x14ac:dyDescent="0.3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05" customHeight="1" x14ac:dyDescent="0.3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05" customHeight="1" x14ac:dyDescent="0.3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05" customHeight="1" x14ac:dyDescent="0.3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05" customHeight="1" x14ac:dyDescent="0.3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05" customHeight="1" x14ac:dyDescent="0.3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05" customHeight="1" x14ac:dyDescent="0.3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05" customHeight="1" x14ac:dyDescent="0.3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05" customHeight="1" x14ac:dyDescent="0.3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05" customHeight="1" x14ac:dyDescent="0.3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05" customHeight="1" x14ac:dyDescent="0.3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05" customHeight="1" x14ac:dyDescent="0.3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05" customHeight="1" x14ac:dyDescent="0.3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05" customHeight="1" x14ac:dyDescent="0.3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05" customHeight="1" x14ac:dyDescent="0.3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05" customHeight="1" x14ac:dyDescent="0.3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05" customHeight="1" x14ac:dyDescent="0.3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05" customHeight="1" x14ac:dyDescent="0.3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05" customHeight="1" x14ac:dyDescent="0.3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05" customHeight="1" x14ac:dyDescent="0.3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05" customHeight="1" x14ac:dyDescent="0.3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05" customHeight="1" x14ac:dyDescent="0.3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05" customHeight="1" x14ac:dyDescent="0.3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05" customHeight="1" x14ac:dyDescent="0.3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05" customHeight="1" x14ac:dyDescent="0.3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05" customHeight="1" x14ac:dyDescent="0.3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05" customHeight="1" x14ac:dyDescent="0.3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05" customHeight="1" x14ac:dyDescent="0.3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05" customHeight="1" x14ac:dyDescent="0.3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05" customHeight="1" x14ac:dyDescent="0.3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05" customHeight="1" x14ac:dyDescent="0.3">
      <c r="A64" s="25" t="s">
        <v>852</v>
      </c>
      <c r="B64" s="26" t="s">
        <v>853</v>
      </c>
      <c r="C64" s="20"/>
      <c r="D64" s="21"/>
      <c r="E64" s="22">
        <v>2</v>
      </c>
      <c r="F64" s="23"/>
      <c r="G64" s="24">
        <f t="shared" si="1"/>
        <v>2</v>
      </c>
    </row>
    <row r="65" spans="1:7" ht="16.05" customHeight="1" x14ac:dyDescent="0.3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05" customHeight="1" x14ac:dyDescent="0.3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05" customHeight="1" x14ac:dyDescent="0.3">
      <c r="A67" s="18" t="s">
        <v>858</v>
      </c>
      <c r="B67" s="19" t="s">
        <v>859</v>
      </c>
      <c r="C67" s="20"/>
      <c r="D67" s="21"/>
      <c r="E67" s="22">
        <v>1</v>
      </c>
      <c r="F67" s="23"/>
      <c r="G67" s="24">
        <f t="shared" ref="G67:G82" si="2">MAX(0,IF(E67="",0,E67)-IF(F67="",0,F67))</f>
        <v>1</v>
      </c>
    </row>
    <row r="68" spans="1:7" ht="16.05" customHeight="1" x14ac:dyDescent="0.3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05" customHeight="1" x14ac:dyDescent="0.3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05" customHeight="1" x14ac:dyDescent="0.3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05" customHeight="1" x14ac:dyDescent="0.3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05" customHeight="1" x14ac:dyDescent="0.3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05" customHeight="1" x14ac:dyDescent="0.3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05" customHeight="1" x14ac:dyDescent="0.3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05" customHeight="1" x14ac:dyDescent="0.3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05" customHeight="1" x14ac:dyDescent="0.3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05" customHeight="1" x14ac:dyDescent="0.3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05" customHeight="1" x14ac:dyDescent="0.3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05" customHeight="1" x14ac:dyDescent="0.3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05" customHeight="1" x14ac:dyDescent="0.3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05" customHeight="1" x14ac:dyDescent="0.3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05" customHeight="1" x14ac:dyDescent="0.3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2026-09-29T07:10:57Z</dcterms:modified>
</cp:coreProperties>
</file>