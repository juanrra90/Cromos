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an\Documents\Cromos\Liga 2026-27\"/>
    </mc:Choice>
  </mc:AlternateContent>
  <xr:revisionPtr revIDLastSave="0" documentId="13_ncr:1_{C2A187C0-109C-4007-B9C1-A531F7ACC88E}" xr6:coauthVersionLast="47" xr6:coauthVersionMax="47" xr10:uidLastSave="{00000000-0000-0000-0000-000000000000}"/>
  <bookViews>
    <workbookView xWindow="-108" yWindow="-108" windowWidth="23256" windowHeight="13896" firstSheet="14" activeTab="14" xr2:uid="{00000000-000D-0000-FFFF-FFFF00000000}"/>
  </bookViews>
  <sheets>
    <sheet name="RESUMEN" sheetId="1" r:id="rId1"/>
    <sheet name="D. ALAVÉS" sheetId="2" r:id="rId2"/>
    <sheet name="ATHLETIC CLUB" sheetId="3" r:id="rId3"/>
    <sheet name="ATLÉTICO DE MADRID" sheetId="4" r:id="rId4"/>
    <sheet name="FC BARCELONA" sheetId="5" r:id="rId5"/>
    <sheet name="REAL BETIS" sheetId="6" r:id="rId6"/>
    <sheet name="RC CELTA DE VIGO" sheetId="7" r:id="rId7"/>
    <sheet name="RC DEPORTIVO" sheetId="8" r:id="rId8"/>
    <sheet name="ELCHE CF" sheetId="9" r:id="rId9"/>
    <sheet name="RCD ESPANYOL" sheetId="10" r:id="rId10"/>
    <sheet name="GETAFE CF" sheetId="11" r:id="rId11"/>
    <sheet name="LEVANTE UD" sheetId="12" r:id="rId12"/>
    <sheet name="REAL MADRID CF" sheetId="13" r:id="rId13"/>
    <sheet name="MÁLAGA CF" sheetId="14" r:id="rId14"/>
    <sheet name="CA OSASUNA" sheetId="15" r:id="rId15"/>
    <sheet name="R. RACING CLUB" sheetId="16" r:id="rId16"/>
    <sheet name="RAYO VALLECANO" sheetId="17" r:id="rId17"/>
    <sheet name="REAL SOCIEDAD" sheetId="18" r:id="rId18"/>
    <sheet name="SEVILLA FC" sheetId="19" r:id="rId19"/>
    <sheet name="VALENCIA CF" sheetId="20" r:id="rId20"/>
    <sheet name="VILLARREAL CF" sheetId="21" r:id="rId21"/>
    <sheet name="ÚLTIMOS FICHAJES" sheetId="22" r:id="rId22"/>
    <sheet name="ADN - LALIGA PRIME" sheetId="23" r:id="rId23"/>
    <sheet name="LALIGA FANTASY" sheetId="24" r:id="rId24"/>
    <sheet name="DRAFT 23" sheetId="25" r:id="rId25"/>
    <sheet name="DRAFT 23 KROMIX" sheetId="26" r:id="rId26"/>
    <sheet name="EXTRA STICKERS" sheetId="27" r:id="rId27"/>
    <sheet name="CHICLE LIGA 2627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28" l="1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5" i="25"/>
  <c r="G24" i="25"/>
  <c r="G23" i="25"/>
  <c r="G22" i="25"/>
  <c r="G21" i="25"/>
  <c r="G20" i="25"/>
  <c r="G19" i="25"/>
  <c r="G18" i="25"/>
  <c r="G17" i="25"/>
  <c r="G16" i="25"/>
  <c r="G25" i="1" s="1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11" i="24"/>
  <c r="G10" i="24"/>
  <c r="G9" i="24"/>
  <c r="G8" i="24"/>
  <c r="G7" i="24"/>
  <c r="G6" i="24"/>
  <c r="G5" i="24"/>
  <c r="G4" i="24"/>
  <c r="G3" i="24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17" i="1" s="1"/>
  <c r="G5" i="16"/>
  <c r="G4" i="16"/>
  <c r="G3" i="16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7" i="13"/>
  <c r="G26" i="13"/>
  <c r="G25" i="13"/>
  <c r="G24" i="13"/>
  <c r="G23" i="13"/>
  <c r="G22" i="13"/>
  <c r="G21" i="13"/>
  <c r="G14" i="1" s="1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5" i="9"/>
  <c r="G24" i="9"/>
  <c r="G23" i="9"/>
  <c r="G22" i="9"/>
  <c r="G21" i="9"/>
  <c r="G10" i="1" s="1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6" i="7"/>
  <c r="G25" i="7"/>
  <c r="G24" i="7"/>
  <c r="G8" i="1" s="1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6" i="3"/>
  <c r="G4" i="1" s="1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30" i="1"/>
  <c r="G29" i="1"/>
  <c r="F29" i="1"/>
  <c r="E29" i="1"/>
  <c r="D29" i="1"/>
  <c r="C29" i="1"/>
  <c r="F28" i="1"/>
  <c r="E28" i="1"/>
  <c r="D28" i="1"/>
  <c r="C28" i="1"/>
  <c r="G27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G23" i="1"/>
  <c r="F23" i="1"/>
  <c r="E23" i="1"/>
  <c r="D23" i="1"/>
  <c r="C23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G13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G9" i="1"/>
  <c r="F9" i="1"/>
  <c r="E9" i="1"/>
  <c r="D9" i="1"/>
  <c r="C9" i="1"/>
  <c r="F8" i="1"/>
  <c r="E8" i="1"/>
  <c r="D8" i="1"/>
  <c r="C8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F4" i="1"/>
  <c r="E4" i="1"/>
  <c r="D4" i="1"/>
  <c r="C4" i="1"/>
  <c r="F3" i="1"/>
  <c r="E3" i="1"/>
  <c r="D3" i="1"/>
  <c r="C3" i="1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12" i="1" l="1"/>
  <c r="G18" i="1"/>
  <c r="G24" i="1"/>
  <c r="G28" i="1"/>
  <c r="G15" i="1"/>
  <c r="G26" i="1"/>
  <c r="G16" i="1"/>
  <c r="G7" i="1"/>
  <c r="G22" i="1"/>
  <c r="G3" i="1"/>
  <c r="G11" i="1"/>
  <c r="E30" i="1"/>
  <c r="C30" i="1"/>
  <c r="F30" i="1"/>
  <c r="D30" i="1"/>
  <c r="G30" i="1" l="1"/>
</calcChain>
</file>

<file path=xl/sharedStrings.xml><?xml version="1.0" encoding="utf-8"?>
<sst xmlns="http://schemas.openxmlformats.org/spreadsheetml/2006/main" count="2158" uniqueCount="891">
  <si>
    <t>REAL BETIS</t>
  </si>
  <si>
    <t>Nº</t>
  </si>
  <si>
    <t>Jugador / Cromo</t>
  </si>
  <si>
    <t>Tengo</t>
  </si>
  <si>
    <t>Pedir</t>
  </si>
  <si>
    <t>Repetidos</t>
  </si>
  <si>
    <t>Enviados</t>
  </si>
  <si>
    <t>Disponibles</t>
  </si>
  <si>
    <t>1</t>
  </si>
  <si>
    <t>Escudo</t>
  </si>
  <si>
    <t>X</t>
  </si>
  <si>
    <t>2</t>
  </si>
  <si>
    <t>Manuel Pellegrini (entrenador)</t>
  </si>
  <si>
    <t>3</t>
  </si>
  <si>
    <t>Valles (portero)</t>
  </si>
  <si>
    <t>4</t>
  </si>
  <si>
    <t>Pau López (Baja)</t>
  </si>
  <si>
    <t>4BIS</t>
  </si>
  <si>
    <t>Diego Conde</t>
  </si>
  <si>
    <t>5A</t>
  </si>
  <si>
    <t>Aitor Ruibal</t>
  </si>
  <si>
    <t>5B</t>
  </si>
  <si>
    <t>Bellerín</t>
  </si>
  <si>
    <t>6</t>
  </si>
  <si>
    <t>Diego Llorente</t>
  </si>
  <si>
    <t>7</t>
  </si>
  <si>
    <t>Bartra</t>
  </si>
  <si>
    <t>8</t>
  </si>
  <si>
    <t>Natan</t>
  </si>
  <si>
    <t>9</t>
  </si>
  <si>
    <t>Valentín Gómez</t>
  </si>
  <si>
    <t>10</t>
  </si>
  <si>
    <t>Marc Roca</t>
  </si>
  <si>
    <t>11</t>
  </si>
  <si>
    <t>Amrabat (Baja)</t>
  </si>
  <si>
    <t>11BIS</t>
  </si>
  <si>
    <t>Deossa</t>
  </si>
  <si>
    <t>12</t>
  </si>
  <si>
    <t>Fidalgo</t>
  </si>
  <si>
    <t>13</t>
  </si>
  <si>
    <t>Facundo Bernal</t>
  </si>
  <si>
    <t>14</t>
  </si>
  <si>
    <t>Lo Celso</t>
  </si>
  <si>
    <t>15</t>
  </si>
  <si>
    <t>Pablo Fornals</t>
  </si>
  <si>
    <t>16</t>
  </si>
  <si>
    <t>Isco</t>
  </si>
  <si>
    <t>17</t>
  </si>
  <si>
    <t>Riquelme</t>
  </si>
  <si>
    <t>18</t>
  </si>
  <si>
    <t>Antony</t>
  </si>
  <si>
    <t>19</t>
  </si>
  <si>
    <t>Cucho Hernández</t>
  </si>
  <si>
    <t>20</t>
  </si>
  <si>
    <t>Abde</t>
  </si>
  <si>
    <t>ÁLBUM LaLiga EA Sports 2026-27 — SEGUIMIENTO DE CROMOS</t>
  </si>
  <si>
    <t>Equipo / Sección</t>
  </si>
  <si>
    <t>Total</t>
  </si>
  <si>
    <t>Faltan</t>
  </si>
  <si>
    <t>D. ALAVÉS</t>
  </si>
  <si>
    <t>ATHLETIC CLUB</t>
  </si>
  <si>
    <t>ATLÉTICO DE MADRID</t>
  </si>
  <si>
    <t>FC BARCELONA</t>
  </si>
  <si>
    <t>RC CELTA DE VIGO</t>
  </si>
  <si>
    <t>RC DEPORTIVO</t>
  </si>
  <si>
    <t>ELCHE CF</t>
  </si>
  <si>
    <t>RCD ESPANYOL</t>
  </si>
  <si>
    <t>GETAFE CF</t>
  </si>
  <si>
    <t>LEVANTE UD</t>
  </si>
  <si>
    <t>REAL MADRID CF</t>
  </si>
  <si>
    <t>MÁLAGA CF</t>
  </si>
  <si>
    <t>CA OSASUNA</t>
  </si>
  <si>
    <t>R. RACING CLUB</t>
  </si>
  <si>
    <t>RAYO VALLECANO</t>
  </si>
  <si>
    <t>REAL SOCIEDAD</t>
  </si>
  <si>
    <t>SEVILLA FC</t>
  </si>
  <si>
    <t>VALENCIA CF</t>
  </si>
  <si>
    <t>VILLARREAL CF</t>
  </si>
  <si>
    <t>ADN - LALIGA PRIME</t>
  </si>
  <si>
    <t>LALIGA FANTASY</t>
  </si>
  <si>
    <t>DRAFT 23</t>
  </si>
  <si>
    <t>DRAFT 23 KROMIX</t>
  </si>
  <si>
    <t>EXTRA STICKERS</t>
  </si>
  <si>
    <t>CHICLE LIGA 2627</t>
  </si>
  <si>
    <t>ÚLTIMOS FICHAJES</t>
  </si>
  <si>
    <t>TOTAL</t>
  </si>
  <si>
    <t>📝 Pon X en "Tengo" cuando tengas el cromo. Vacío = falta. X en "Pedir" = necesitas conseguirlo. "Disponibles" se calcula solo (Repetidos − Enviados).</t>
  </si>
  <si>
    <t>Quique Sánchez Flores (entrenador)</t>
  </si>
  <si>
    <t>Sivera (portero)</t>
  </si>
  <si>
    <t>Adrián Rodríguez</t>
  </si>
  <si>
    <t>5</t>
  </si>
  <si>
    <t>Jonny</t>
  </si>
  <si>
    <t>Koski</t>
  </si>
  <si>
    <t>Tenaglia</t>
  </si>
  <si>
    <t>Parada (Baja)</t>
  </si>
  <si>
    <t>8B</t>
  </si>
  <si>
    <t>Garcés</t>
  </si>
  <si>
    <t>Yusi</t>
  </si>
  <si>
    <t>Rodríguez</t>
  </si>
  <si>
    <t>Benavidez</t>
  </si>
  <si>
    <t>Blanco</t>
  </si>
  <si>
    <t>Guevara</t>
  </si>
  <si>
    <t>Aleñá</t>
  </si>
  <si>
    <t>Pablo Ibáñez</t>
  </si>
  <si>
    <t>Denis Suárez</t>
  </si>
  <si>
    <t>Ángel Pérez</t>
  </si>
  <si>
    <t>18A</t>
  </si>
  <si>
    <t>18B</t>
  </si>
  <si>
    <t>Mañas</t>
  </si>
  <si>
    <t>Toni Martínez</t>
  </si>
  <si>
    <t>Boyé</t>
  </si>
  <si>
    <t>20BIS</t>
  </si>
  <si>
    <t>Mariano</t>
  </si>
  <si>
    <t>Edin Terzić (entrenador)</t>
  </si>
  <si>
    <t>Unai Simón (portero)</t>
  </si>
  <si>
    <t>Padilla (portero)</t>
  </si>
  <si>
    <t>Areso</t>
  </si>
  <si>
    <t>6A</t>
  </si>
  <si>
    <t>Paredes</t>
  </si>
  <si>
    <t>6B</t>
  </si>
  <si>
    <t>Yeray</t>
  </si>
  <si>
    <t>Vivian</t>
  </si>
  <si>
    <t>Laporte</t>
  </si>
  <si>
    <t>9A</t>
  </si>
  <si>
    <t>Yuri</t>
  </si>
  <si>
    <t>9B</t>
  </si>
  <si>
    <t>Adama Boiro (Baja)</t>
  </si>
  <si>
    <t>Jauregizar</t>
  </si>
  <si>
    <t>Ruiz de Galarreta</t>
  </si>
  <si>
    <t>Rego</t>
  </si>
  <si>
    <t>Unai Gómez (Baja)</t>
  </si>
  <si>
    <t>13BIS</t>
  </si>
  <si>
    <t>Prados</t>
  </si>
  <si>
    <t>Sancet</t>
  </si>
  <si>
    <t>Nico Serrano</t>
  </si>
  <si>
    <t>Berenguer</t>
  </si>
  <si>
    <t>17A</t>
  </si>
  <si>
    <t>Robert Navarro</t>
  </si>
  <si>
    <t>17B</t>
  </si>
  <si>
    <t>Maroan</t>
  </si>
  <si>
    <t>Nico Williams</t>
  </si>
  <si>
    <t>Williams</t>
  </si>
  <si>
    <t>Guruzeta</t>
  </si>
  <si>
    <t>Diego Pablo Simeone (entrenador)</t>
  </si>
  <si>
    <t>Oblak (portero)</t>
  </si>
  <si>
    <t>Musso (portero)</t>
  </si>
  <si>
    <t>Marcos Llorente</t>
  </si>
  <si>
    <t>Nahuel Molina (Baja)</t>
  </si>
  <si>
    <t>Pubill</t>
  </si>
  <si>
    <t>8A</t>
  </si>
  <si>
    <t>Le Normand</t>
  </si>
  <si>
    <t>Giménez (Baja)</t>
  </si>
  <si>
    <t>Hancko</t>
  </si>
  <si>
    <t>Ruggeri (Baja)</t>
  </si>
  <si>
    <t>10BIS</t>
  </si>
  <si>
    <t>Grimaldo</t>
  </si>
  <si>
    <t>Koke</t>
  </si>
  <si>
    <t>Barrios</t>
  </si>
  <si>
    <t>Johnny Cardoso</t>
  </si>
  <si>
    <t>14A</t>
  </si>
  <si>
    <t>Rodri Mendoza</t>
  </si>
  <si>
    <t>14B</t>
  </si>
  <si>
    <t>Obed Vargas</t>
  </si>
  <si>
    <t>Álex Baena</t>
  </si>
  <si>
    <t>Almada (Baja)</t>
  </si>
  <si>
    <t>16BIS</t>
  </si>
  <si>
    <t>Arnau Ortiz</t>
  </si>
  <si>
    <t>Giuliano</t>
  </si>
  <si>
    <t>Lookman</t>
  </si>
  <si>
    <t>Julián Álvarez</t>
  </si>
  <si>
    <t>Hansi Flick (entrenador)</t>
  </si>
  <si>
    <t>Joan García (portero)</t>
  </si>
  <si>
    <t>Szczęsny (portero)</t>
  </si>
  <si>
    <t>Koundé</t>
  </si>
  <si>
    <t>Araujo (Baja)</t>
  </si>
  <si>
    <t>Christensen</t>
  </si>
  <si>
    <t>Cubarsí</t>
  </si>
  <si>
    <t>Gerard Martín</t>
  </si>
  <si>
    <t>João Cancelo</t>
  </si>
  <si>
    <t>Balde</t>
  </si>
  <si>
    <t>Eric García</t>
  </si>
  <si>
    <t>De Jong</t>
  </si>
  <si>
    <t>Gavi</t>
  </si>
  <si>
    <t>Bernal</t>
  </si>
  <si>
    <t>Pedri</t>
  </si>
  <si>
    <t>Fermín</t>
  </si>
  <si>
    <t>Dani Olmo</t>
  </si>
  <si>
    <t>Ferran Torres (Baja)</t>
  </si>
  <si>
    <t>18BIS</t>
  </si>
  <si>
    <t>Abdelkarim</t>
  </si>
  <si>
    <t>Raphinha</t>
  </si>
  <si>
    <t>Lamine Yamal</t>
  </si>
  <si>
    <t>Claudio Giráldez (entrenador)</t>
  </si>
  <si>
    <t>Radu (portero)</t>
  </si>
  <si>
    <t>Iván Villar (portero)</t>
  </si>
  <si>
    <t>Álvaro Núñez</t>
  </si>
  <si>
    <t>Javi Rueda</t>
  </si>
  <si>
    <t>Javi Rodríguez</t>
  </si>
  <si>
    <t>Starfelt</t>
  </si>
  <si>
    <t>Marcos Alonso</t>
  </si>
  <si>
    <t>Yoel Lago</t>
  </si>
  <si>
    <t>Carreira</t>
  </si>
  <si>
    <t>Ilaix Moriba</t>
  </si>
  <si>
    <t>Miguel Román</t>
  </si>
  <si>
    <t>Hugo Álvarez</t>
  </si>
  <si>
    <t>Sotelo (Baja)</t>
  </si>
  <si>
    <t>14BIS</t>
  </si>
  <si>
    <t>Vecino (Baja)</t>
  </si>
  <si>
    <t>Fer López (Baja)</t>
  </si>
  <si>
    <t>Swedberg</t>
  </si>
  <si>
    <t>Iago Aspas</t>
  </si>
  <si>
    <t>Pablo Durán</t>
  </si>
  <si>
    <t>El-Abdellaoui</t>
  </si>
  <si>
    <t>Jutglà</t>
  </si>
  <si>
    <t>19BIS</t>
  </si>
  <si>
    <t>Hugo González</t>
  </si>
  <si>
    <t>Borja Iglesias</t>
  </si>
  <si>
    <t>Antonio Hidalgo (entrenador)</t>
  </si>
  <si>
    <t>Álvaro Fernández (portero)</t>
  </si>
  <si>
    <t>Germán Parreño (portero)</t>
  </si>
  <si>
    <t>Adrià Altimira</t>
  </si>
  <si>
    <t>Loureiro</t>
  </si>
  <si>
    <t>Noubi</t>
  </si>
  <si>
    <t>Dani Barcia</t>
  </si>
  <si>
    <t>8BIS</t>
  </si>
  <si>
    <t>Bright Ede</t>
  </si>
  <si>
    <t>Ximo Navarro</t>
  </si>
  <si>
    <t>Arnau Comas</t>
  </si>
  <si>
    <t>Quagliata</t>
  </si>
  <si>
    <t>Villares</t>
  </si>
  <si>
    <t>Riki</t>
  </si>
  <si>
    <t>Mario Soriano</t>
  </si>
  <si>
    <t>José Ángel</t>
  </si>
  <si>
    <t>Gijsrlhart</t>
  </si>
  <si>
    <t>Luismi Cruz</t>
  </si>
  <si>
    <t>Mella</t>
  </si>
  <si>
    <t>Asp Jensen</t>
  </si>
  <si>
    <t>Yeremay</t>
  </si>
  <si>
    <t>Eddahchouri</t>
  </si>
  <si>
    <t>Nsongo</t>
  </si>
  <si>
    <t>Entrenador (error Panini)</t>
  </si>
  <si>
    <t>2BIS</t>
  </si>
  <si>
    <t>Martín Anselmi (entrenador)</t>
  </si>
  <si>
    <t>Dituro (portero)</t>
  </si>
  <si>
    <t>Iturbe</t>
  </si>
  <si>
    <t>Pétrot (Baja)</t>
  </si>
  <si>
    <t>Chust</t>
  </si>
  <si>
    <t>Bigas</t>
  </si>
  <si>
    <t>Affengruber (Baja)</t>
  </si>
  <si>
    <t>Pedrosa (Baja)</t>
  </si>
  <si>
    <t>Sangaré</t>
  </si>
  <si>
    <t>Germán Valera</t>
  </si>
  <si>
    <t>Martim Neto</t>
  </si>
  <si>
    <t>Gonzalo Villar</t>
  </si>
  <si>
    <t>13A</t>
  </si>
  <si>
    <t>Fede Redondo</t>
  </si>
  <si>
    <t>13B</t>
  </si>
  <si>
    <t>Jon Chetauya (Baja)</t>
  </si>
  <si>
    <t>Marc Aguado</t>
  </si>
  <si>
    <t>Josan</t>
  </si>
  <si>
    <t>Morente</t>
  </si>
  <si>
    <t>Ali Houary</t>
  </si>
  <si>
    <t>Cepeda</t>
  </si>
  <si>
    <t>Diangana</t>
  </si>
  <si>
    <t>Yago Santiago</t>
  </si>
  <si>
    <t>Manolo González (entrenador)</t>
  </si>
  <si>
    <t>Dmitrović (portero)</t>
  </si>
  <si>
    <t>Fortuño (portero)</t>
  </si>
  <si>
    <t>El Hilali</t>
  </si>
  <si>
    <t>Rubén Sánchez (Baja)</t>
  </si>
  <si>
    <t>6BIS</t>
  </si>
  <si>
    <t>Drkušić</t>
  </si>
  <si>
    <t>Riedel</t>
  </si>
  <si>
    <t>Cabrera</t>
  </si>
  <si>
    <t>Miguel Rubio (Baja)</t>
  </si>
  <si>
    <t>9BIS</t>
  </si>
  <si>
    <t>Hinojo</t>
  </si>
  <si>
    <t>Hartman</t>
  </si>
  <si>
    <t>Pol Lozano</t>
  </si>
  <si>
    <t>Urko</t>
  </si>
  <si>
    <t>Edu Expósito</t>
  </si>
  <si>
    <t>Jofre</t>
  </si>
  <si>
    <t>Marcos Fernández</t>
  </si>
  <si>
    <t>15BIS</t>
  </si>
  <si>
    <t>Javi Hernández</t>
  </si>
  <si>
    <t>Dolan</t>
  </si>
  <si>
    <t>Pere Milla</t>
  </si>
  <si>
    <t>Puado</t>
  </si>
  <si>
    <t>Kike García</t>
  </si>
  <si>
    <t>Roberto Fernández</t>
  </si>
  <si>
    <t>José Bordalás (entrenador)</t>
  </si>
  <si>
    <t>David Soria (portero)</t>
  </si>
  <si>
    <t>Letáček (portero)</t>
  </si>
  <si>
    <t>Kiko Femenía</t>
  </si>
  <si>
    <t>Djené</t>
  </si>
  <si>
    <t>Boselli</t>
  </si>
  <si>
    <t>Abqar</t>
  </si>
  <si>
    <t>Zaid Romero</t>
  </si>
  <si>
    <t>Davinchi</t>
  </si>
  <si>
    <t>Mario Martín</t>
  </si>
  <si>
    <t>Javi Muñoz (Baja)</t>
  </si>
  <si>
    <t>Francho</t>
  </si>
  <si>
    <t>Terrats</t>
  </si>
  <si>
    <t>Mangala</t>
  </si>
  <si>
    <t>Juanmi</t>
  </si>
  <si>
    <t>Álex Sancris (Baja)</t>
  </si>
  <si>
    <t>Borja Mayoral</t>
  </si>
  <si>
    <t>Luis Vázquez (Baja)</t>
  </si>
  <si>
    <t>Ünal</t>
  </si>
  <si>
    <t>Satriano</t>
  </si>
  <si>
    <t>Luís Castro (entrenador)</t>
  </si>
  <si>
    <t>Ryan (portero)</t>
  </si>
  <si>
    <t>Pablo Campos (portero)</t>
  </si>
  <si>
    <t>Toljan</t>
  </si>
  <si>
    <t>Elgezabal (Baja)</t>
  </si>
  <si>
    <t>Nacho Pérez</t>
  </si>
  <si>
    <t>Dela</t>
  </si>
  <si>
    <t>Mandi</t>
  </si>
  <si>
    <t>Manu Sánchez</t>
  </si>
  <si>
    <t>Arriaga</t>
  </si>
  <si>
    <t>Oriol Rey</t>
  </si>
  <si>
    <t>Olasagasti</t>
  </si>
  <si>
    <t>Dani Requena</t>
  </si>
  <si>
    <t>Víctor García</t>
  </si>
  <si>
    <t>Paco Cortés</t>
  </si>
  <si>
    <t>Carlos Álvarez (Baja)</t>
  </si>
  <si>
    <t>Tunde</t>
  </si>
  <si>
    <t>Thiago Fernández</t>
  </si>
  <si>
    <t>Brugué</t>
  </si>
  <si>
    <t>Iván Romero</t>
  </si>
  <si>
    <t>Etta Eyong</t>
  </si>
  <si>
    <t>Carlos Espí (Baja)</t>
  </si>
  <si>
    <t>Musuayi</t>
  </si>
  <si>
    <t>José Mourinho (entrenador)</t>
  </si>
  <si>
    <t>Courtois (portero)</t>
  </si>
  <si>
    <t>Lunin (portero)</t>
  </si>
  <si>
    <t>Trent</t>
  </si>
  <si>
    <t>Militão</t>
  </si>
  <si>
    <t>Asencio</t>
  </si>
  <si>
    <t>7BIS</t>
  </si>
  <si>
    <t>Konaté</t>
  </si>
  <si>
    <t>Rüdiger</t>
  </si>
  <si>
    <t>Huijsen</t>
  </si>
  <si>
    <t>10A</t>
  </si>
  <si>
    <t>Carreras</t>
  </si>
  <si>
    <t>10B</t>
  </si>
  <si>
    <t>Mendy</t>
  </si>
  <si>
    <t>Tchouaméni</t>
  </si>
  <si>
    <t>Fede Valverde</t>
  </si>
  <si>
    <t>Camavinga</t>
  </si>
  <si>
    <t>Bellingham</t>
  </si>
  <si>
    <t>15A</t>
  </si>
  <si>
    <t>Güler</t>
  </si>
  <si>
    <t>15B</t>
  </si>
  <si>
    <t>Thiago Pitarch</t>
  </si>
  <si>
    <t>16A</t>
  </si>
  <si>
    <t>Mastantuono (Baja)</t>
  </si>
  <si>
    <t>16B</t>
  </si>
  <si>
    <t>Brahim Díaz</t>
  </si>
  <si>
    <t>Gonzalo (Baja)</t>
  </si>
  <si>
    <t>17BIS</t>
  </si>
  <si>
    <t>Carlos Espí</t>
  </si>
  <si>
    <t>Rodrygo</t>
  </si>
  <si>
    <t>Vinícius</t>
  </si>
  <si>
    <t>Mbappé</t>
  </si>
  <si>
    <t>Juan Francisco Funes (entrenador)</t>
  </si>
  <si>
    <t>Alfonso Herrero (portero)</t>
  </si>
  <si>
    <t>Carlos López (portero)</t>
  </si>
  <si>
    <t>Puga</t>
  </si>
  <si>
    <t>Murillo</t>
  </si>
  <si>
    <t>Recio</t>
  </si>
  <si>
    <t>Calero</t>
  </si>
  <si>
    <t>Einar Galilea</t>
  </si>
  <si>
    <t>Rafita</t>
  </si>
  <si>
    <t>Salinas</t>
  </si>
  <si>
    <t>Izan Merino</t>
  </si>
  <si>
    <t>Dani Lorenzo</t>
  </si>
  <si>
    <t>Rafa Rodríguez</t>
  </si>
  <si>
    <t>Juanpe (Baja)</t>
  </si>
  <si>
    <t>Dotor</t>
  </si>
  <si>
    <t>Aarón Ochoa</t>
  </si>
  <si>
    <t>Larrubia</t>
  </si>
  <si>
    <t>Lobete</t>
  </si>
  <si>
    <t>Adrián Niño</t>
  </si>
  <si>
    <t>Joaquín</t>
  </si>
  <si>
    <t>Chupe</t>
  </si>
  <si>
    <t>Luis Miguel Ramis (entrenador)</t>
  </si>
  <si>
    <t>Sergio Herrera (portero)</t>
  </si>
  <si>
    <t>Aitor Fernández (portero)</t>
  </si>
  <si>
    <t>Rosier</t>
  </si>
  <si>
    <t>Arguibide</t>
  </si>
  <si>
    <t>Boyomo</t>
  </si>
  <si>
    <t>Herrando</t>
  </si>
  <si>
    <t>Catena</t>
  </si>
  <si>
    <t>Abel Bretones</t>
  </si>
  <si>
    <t>Osambela</t>
  </si>
  <si>
    <t>Torró</t>
  </si>
  <si>
    <t>Moncayola</t>
  </si>
  <si>
    <t>Moi Gómez</t>
  </si>
  <si>
    <t>Iker Muñoz</t>
  </si>
  <si>
    <t>Rubén García</t>
  </si>
  <si>
    <t>Aimar Oroz</t>
  </si>
  <si>
    <t>Iker Benito (Baja)</t>
  </si>
  <si>
    <t>Dubasin</t>
  </si>
  <si>
    <t>Raúl Moro</t>
  </si>
  <si>
    <t>Raúl García</t>
  </si>
  <si>
    <t>Kike Barja</t>
  </si>
  <si>
    <t>Budimir</t>
  </si>
  <si>
    <t>José Alberto López (entrenador)</t>
  </si>
  <si>
    <t>Agirrezabala</t>
  </si>
  <si>
    <t>Eriksson (portero)</t>
  </si>
  <si>
    <t>Mantilla</t>
  </si>
  <si>
    <t>Sangalli (Baja)</t>
  </si>
  <si>
    <t>Pablo Ramón</t>
  </si>
  <si>
    <t>Facu González</t>
  </si>
  <si>
    <t>Javi Castro (Baja)</t>
  </si>
  <si>
    <t>Pedro Felipe</t>
  </si>
  <si>
    <t>Manu Hernando</t>
  </si>
  <si>
    <t>Mario García (Baja)</t>
  </si>
  <si>
    <t>Jorge Salinas</t>
  </si>
  <si>
    <t>Maguette</t>
  </si>
  <si>
    <t>Gustavo Puerta (Baja)</t>
  </si>
  <si>
    <t>Íñigo</t>
  </si>
  <si>
    <t>Sergio Martínez</t>
  </si>
  <si>
    <t>Aldasoro (Baja)</t>
  </si>
  <si>
    <t>Suleiman (Baja)</t>
  </si>
  <si>
    <t>Zabiri</t>
  </si>
  <si>
    <t>Andrés Martín</t>
  </si>
  <si>
    <t>Guliashvili</t>
  </si>
  <si>
    <t>Íñigo Vicente</t>
  </si>
  <si>
    <t>Arana</t>
  </si>
  <si>
    <t>Villalibre</t>
  </si>
  <si>
    <t>Beñat San José (entrenador)</t>
  </si>
  <si>
    <t>Batalla (portero)</t>
  </si>
  <si>
    <t>Cárdenas (portero)</t>
  </si>
  <si>
    <t>Ratiu</t>
  </si>
  <si>
    <t>Balliu</t>
  </si>
  <si>
    <t>Nobel Mendy (Baja)</t>
  </si>
  <si>
    <t>Vertrouwd</t>
  </si>
  <si>
    <t>Lejeune</t>
  </si>
  <si>
    <t>Luiz Felipe</t>
  </si>
  <si>
    <t>Pep Chavarría (Baja)</t>
  </si>
  <si>
    <t>Pelayo</t>
  </si>
  <si>
    <t>11A</t>
  </si>
  <si>
    <t>Pedro Díaz</t>
  </si>
  <si>
    <t>11B</t>
  </si>
  <si>
    <t>Nteka</t>
  </si>
  <si>
    <t>Pathé Ciss</t>
  </si>
  <si>
    <t>Óscar Valentín</t>
  </si>
  <si>
    <t>Unai López</t>
  </si>
  <si>
    <t>Isi</t>
  </si>
  <si>
    <t>De Frutos</t>
  </si>
  <si>
    <t>Fran Pérez</t>
  </si>
  <si>
    <t>Álvaro García</t>
  </si>
  <si>
    <t>Camello</t>
  </si>
  <si>
    <t>Alemão</t>
  </si>
  <si>
    <t>Pellegrino Matarazzo (entrenador)</t>
  </si>
  <si>
    <t>Remiro (portero)</t>
  </si>
  <si>
    <t>Marrero (portero)</t>
  </si>
  <si>
    <t>Aramburu</t>
  </si>
  <si>
    <t>Zubeldia</t>
  </si>
  <si>
    <t>Jon Martín</t>
  </si>
  <si>
    <t>Sergio Gómez</t>
  </si>
  <si>
    <t>Aihen Muñoz</t>
  </si>
  <si>
    <t>Gorrotxategi</t>
  </si>
  <si>
    <t>Pablo Marín</t>
  </si>
  <si>
    <t>Turrientes</t>
  </si>
  <si>
    <t>Yangel Herrera</t>
  </si>
  <si>
    <t>Zakharyan</t>
  </si>
  <si>
    <t>Carlos Soler</t>
  </si>
  <si>
    <t>Sučić</t>
  </si>
  <si>
    <t>Barrenetxea</t>
  </si>
  <si>
    <t>Kubo</t>
  </si>
  <si>
    <t>Guedes</t>
  </si>
  <si>
    <t>Óskarsson</t>
  </si>
  <si>
    <t>Oyarzabal</t>
  </si>
  <si>
    <t>Luis García (entrenador)</t>
  </si>
  <si>
    <t>Vlachodimos (portero)</t>
  </si>
  <si>
    <t>Fran González</t>
  </si>
  <si>
    <t>Carmona</t>
  </si>
  <si>
    <t>Juanlu (Baja)</t>
  </si>
  <si>
    <t>Iglesias</t>
  </si>
  <si>
    <t>Kike Salas</t>
  </si>
  <si>
    <t>Nianzou (Baja)</t>
  </si>
  <si>
    <t>Julio Díaz</t>
  </si>
  <si>
    <t>Castrín</t>
  </si>
  <si>
    <t>Marcão</t>
  </si>
  <si>
    <t>Suazo</t>
  </si>
  <si>
    <t>Oso (Baja)</t>
  </si>
  <si>
    <t>Agoumé</t>
  </si>
  <si>
    <t>Guridi</t>
  </si>
  <si>
    <t>Sow (Baja)</t>
  </si>
  <si>
    <t>Vargas</t>
  </si>
  <si>
    <t>Manu Bueno</t>
  </si>
  <si>
    <t>Peque</t>
  </si>
  <si>
    <t>Ejuke</t>
  </si>
  <si>
    <t>Akor Adams (Baja)</t>
  </si>
  <si>
    <t>Miguel Sierra</t>
  </si>
  <si>
    <t>Isaac Romero</t>
  </si>
  <si>
    <t>Carlos Corberán (entrenador)</t>
  </si>
  <si>
    <t>Dimitrievski (portero)</t>
  </si>
  <si>
    <t>Rivero (portero)</t>
  </si>
  <si>
    <t>Foulquier</t>
  </si>
  <si>
    <t>Copete</t>
  </si>
  <si>
    <t>Tárrega</t>
  </si>
  <si>
    <t>Cömert (Baja)</t>
  </si>
  <si>
    <t>Diakhaby</t>
  </si>
  <si>
    <t>Gayà</t>
  </si>
  <si>
    <t>Jesús Vázquez</t>
  </si>
  <si>
    <t>Pepelu</t>
  </si>
  <si>
    <t>Guido Rodríguez</t>
  </si>
  <si>
    <t>Javi Guerra</t>
  </si>
  <si>
    <t>Luis Rioja</t>
  </si>
  <si>
    <t>Ugrinić</t>
  </si>
  <si>
    <t>André Almeida (Baja)</t>
  </si>
  <si>
    <t>Dieng</t>
  </si>
  <si>
    <t>Hugo Duro</t>
  </si>
  <si>
    <t>Diego López</t>
  </si>
  <si>
    <t>Ramazani (Baja)</t>
  </si>
  <si>
    <t>Danjuma</t>
  </si>
  <si>
    <t>20A</t>
  </si>
  <si>
    <t>Sadiq</t>
  </si>
  <si>
    <t>20B</t>
  </si>
  <si>
    <t>Lucas Beltrán</t>
  </si>
  <si>
    <t>Íñigo Pérez (entrenador)</t>
  </si>
  <si>
    <t>Luiz Júnior (portero)</t>
  </si>
  <si>
    <t>Arnau Tenas (Baja)</t>
  </si>
  <si>
    <t>Gulácsi</t>
  </si>
  <si>
    <t>Mouriño</t>
  </si>
  <si>
    <t>Pau Navarro</t>
  </si>
  <si>
    <t>Logan Costa</t>
  </si>
  <si>
    <t>7A</t>
  </si>
  <si>
    <t>Foyth</t>
  </si>
  <si>
    <t>7B</t>
  </si>
  <si>
    <t>Freeman</t>
  </si>
  <si>
    <t>Kambwala</t>
  </si>
  <si>
    <t>Rafa Marín (Baja)</t>
  </si>
  <si>
    <t>Renato Veiga</t>
  </si>
  <si>
    <t>Sergi Cardona</t>
  </si>
  <si>
    <t>Pape Gueye</t>
  </si>
  <si>
    <t>Santi Comesaña</t>
  </si>
  <si>
    <t>Maciá</t>
  </si>
  <si>
    <t>Moleiro</t>
  </si>
  <si>
    <t>Buchanan</t>
  </si>
  <si>
    <t>Oluwaseyi</t>
  </si>
  <si>
    <t>Ayoze</t>
  </si>
  <si>
    <t>Pépé</t>
  </si>
  <si>
    <t>Mikautadze</t>
  </si>
  <si>
    <t>Gerard Moreno</t>
  </si>
  <si>
    <t>ÚLTIMOS FICHAJES (2ª Edición)</t>
  </si>
  <si>
    <t>UF1</t>
  </si>
  <si>
    <t>Canales (R. Racing Club)</t>
  </si>
  <si>
    <t>UF2</t>
  </si>
  <si>
    <t>Calatrava (RCD Espanyol)</t>
  </si>
  <si>
    <t>UF3</t>
  </si>
  <si>
    <t xml:space="preserve">Dumfries (Real Madrid CF) </t>
  </si>
  <si>
    <t>UF4</t>
  </si>
  <si>
    <t xml:space="preserve">Carlos Romero (Villarreal CF) </t>
  </si>
  <si>
    <t>UF5</t>
  </si>
  <si>
    <t xml:space="preserve">Hjulmand (Atlético de Madrid) </t>
  </si>
  <si>
    <t>UF6</t>
  </si>
  <si>
    <t xml:space="preserve">Fran García (Real Betis) </t>
  </si>
  <si>
    <t>UF7</t>
  </si>
  <si>
    <t xml:space="preserve">Bardell (Levante UD) </t>
  </si>
  <si>
    <t>UF8</t>
  </si>
  <si>
    <t xml:space="preserve">Leo Román (RC Deportivo) </t>
  </si>
  <si>
    <t>UF9</t>
  </si>
  <si>
    <t xml:space="preserve">De Haas (Valencia CF) </t>
  </si>
  <si>
    <t>UF10</t>
  </si>
  <si>
    <t xml:space="preserve">Febas (RC Celta) </t>
  </si>
  <si>
    <t>UF11</t>
  </si>
  <si>
    <t xml:space="preserve">Juan Cruz (Málaga CF) </t>
  </si>
  <si>
    <t>UF12</t>
  </si>
  <si>
    <t xml:space="preserve">Aubameyang (RC Deportivo) </t>
  </si>
  <si>
    <t>UF13</t>
  </si>
  <si>
    <t>Sotelo (Levante UD)</t>
  </si>
  <si>
    <t>UF14</t>
  </si>
  <si>
    <t xml:space="preserve">Sato (Valencia CF) </t>
  </si>
  <si>
    <t>UF15</t>
  </si>
  <si>
    <t xml:space="preserve">Fer Niño (Elche CF) </t>
  </si>
  <si>
    <t>UF16</t>
  </si>
  <si>
    <t xml:space="preserve">Moscardó (RCD Espanyol) </t>
  </si>
  <si>
    <t>UF17</t>
  </si>
  <si>
    <t xml:space="preserve">Sangante (Sevilla FC) </t>
  </si>
  <si>
    <t>UF18</t>
  </si>
  <si>
    <t xml:space="preserve">Andrés García (Getafe CF) </t>
  </si>
  <si>
    <t>UF19</t>
  </si>
  <si>
    <t xml:space="preserve">Adeyemi (FC Barcelona) </t>
  </si>
  <si>
    <t>UF20</t>
  </si>
  <si>
    <t xml:space="preserve">Kang-In Lee (Atlético de Madrid) </t>
  </si>
  <si>
    <t>UF21</t>
  </si>
  <si>
    <t>Bernardo Silva (Real Madrid CF)</t>
  </si>
  <si>
    <t>UF22</t>
  </si>
  <si>
    <t>Amatucci (RC Deportivo)</t>
  </si>
  <si>
    <t>UF23</t>
  </si>
  <si>
    <t>Mojica (Getafe CF)</t>
  </si>
  <si>
    <t>UF24</t>
  </si>
  <si>
    <t>Gordon (FC Barcelona)</t>
  </si>
  <si>
    <t>UF25</t>
  </si>
  <si>
    <t>Robbie Ure (Sevilla FC)</t>
  </si>
  <si>
    <t>UF26</t>
  </si>
  <si>
    <t>Javi Morcillo (Elche CF)</t>
  </si>
  <si>
    <t>UF27</t>
  </si>
  <si>
    <t>Núñez (RCD Espanyol)</t>
  </si>
  <si>
    <t>UF28</t>
  </si>
  <si>
    <t>Maffeo (Valencia CF)</t>
  </si>
  <si>
    <t>UF29</t>
  </si>
  <si>
    <t>Cucurella (Real Madrid CF)</t>
  </si>
  <si>
    <t>UF30</t>
  </si>
  <si>
    <t>Valentini (Deportivo Alavés)</t>
  </si>
  <si>
    <t>UF31</t>
  </si>
  <si>
    <t>Sazonov (Getafe CF)</t>
  </si>
  <si>
    <t>UF32</t>
  </si>
  <si>
    <t>Buonanotte (Elche CF)</t>
  </si>
  <si>
    <t>UF33</t>
  </si>
  <si>
    <t>Angeliño (RC Deportivo)</t>
  </si>
  <si>
    <t>UF34</t>
  </si>
  <si>
    <t>Iván Martín (R. Racing Club)</t>
  </si>
  <si>
    <t>UF35</t>
  </si>
  <si>
    <t>Peio Canales (Athletic Club)</t>
  </si>
  <si>
    <t>UF36</t>
  </si>
  <si>
    <t>Kochorashvili (Sevilla FC)</t>
  </si>
  <si>
    <t>UF37</t>
  </si>
  <si>
    <t>Javi Galán (RC Celta)</t>
  </si>
  <si>
    <t>UF38</t>
  </si>
  <si>
    <t>Parrott (Real Betis)</t>
  </si>
  <si>
    <t>UF39</t>
  </si>
  <si>
    <t>Diomande (Real Madrid CF)</t>
  </si>
  <si>
    <t>UF40</t>
  </si>
  <si>
    <t>Rodri (FC Barcelona)</t>
  </si>
  <si>
    <t>Antony (Real Betis)</t>
  </si>
  <si>
    <t>Bellingham (Real Madrid)</t>
  </si>
  <si>
    <t>Courtois (Real Madrid)</t>
  </si>
  <si>
    <t>Fermín (FC Barcelona)</t>
  </si>
  <si>
    <t>Julián Álvarez (Atlético de Madrid)</t>
  </si>
  <si>
    <t>Lamine Yamal (FC Barcelona)</t>
  </si>
  <si>
    <t>Lookman (Atlético de Madrid)</t>
  </si>
  <si>
    <t>Mbappé (Real Madrid)</t>
  </si>
  <si>
    <t>Moleiro (Villarreal CF)</t>
  </si>
  <si>
    <t>Nico Williams (Athletic Club)</t>
  </si>
  <si>
    <t>Oyarzabal (Real Sociedad)</t>
  </si>
  <si>
    <t>Pedri (FC Barcelona)</t>
  </si>
  <si>
    <t>Raphinha (FC Barcelona)</t>
  </si>
  <si>
    <t>Unai Simón (Athletic Club)</t>
  </si>
  <si>
    <t>Vinícius (Real Madrid)</t>
  </si>
  <si>
    <t>Hansi Flick (entrenador) (FC Barcelona)</t>
  </si>
  <si>
    <t>Joan García (FC Barcelona)</t>
  </si>
  <si>
    <t>Lejeune (Rayo Vallecano)</t>
  </si>
  <si>
    <t>Fornals (Real Betis)</t>
  </si>
  <si>
    <t>Luis Milla (Getafe CF)</t>
  </si>
  <si>
    <t>Asencio (Real Madrid)</t>
  </si>
  <si>
    <t>Balde (FC Barcelona)</t>
  </si>
  <si>
    <t>Barrios (Atlético de Madrid)</t>
  </si>
  <si>
    <t>Carlos Espí (Levante UD)</t>
  </si>
  <si>
    <t>Carreras (Real Madrid)</t>
  </si>
  <si>
    <t>Cubarsí (FC Barcelona)</t>
  </si>
  <si>
    <t>Fer López (RC Celta)</t>
  </si>
  <si>
    <t>Gavi (FC Barcelona)</t>
  </si>
  <si>
    <t>Gonzalo (Real Madrid)</t>
  </si>
  <si>
    <t>Huijsen (Real Madrid)</t>
  </si>
  <si>
    <t>Jauregizar (Athletic Club)</t>
  </si>
  <si>
    <t>Javi Guerra (Valencia CF)</t>
  </si>
  <si>
    <t>Jon Martín (Real Sociedad)</t>
  </si>
  <si>
    <t>Juanlu (Sevilla FC)</t>
  </si>
  <si>
    <t>Marc Bernal (FC Barcelona)</t>
  </si>
  <si>
    <t>Mastantuono (Real Madrid)</t>
  </si>
  <si>
    <t>Oso (Sevilla FC)</t>
  </si>
  <si>
    <t>Pau Navarro (Villarreal CF)</t>
  </si>
  <si>
    <t>Pubill (Atlético de Madrid)</t>
  </si>
  <si>
    <t>Renato Veiga (Villarreal CF)</t>
  </si>
  <si>
    <t>21</t>
  </si>
  <si>
    <t>Rodri Mendoza (Atlético de Madrid)</t>
  </si>
  <si>
    <t>22</t>
  </si>
  <si>
    <t>Thiago Pitarch (Real Madrid)</t>
  </si>
  <si>
    <t>23</t>
  </si>
  <si>
    <t>Yeremay (RC Deportivo)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</si>
  <si>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</si>
  <si>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</si>
  <si>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</si>
  <si>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</si>
  <si>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</si>
  <si>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</si>
  <si>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</si>
  <si>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</si>
  <si>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</si>
  <si>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</si>
  <si>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</si>
  <si>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</si>
  <si>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</si>
  <si>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</si>
  <si>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</si>
  <si>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</si>
  <si>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</si>
  <si>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</si>
  <si>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</si>
  <si>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</si>
  <si>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</si>
  <si>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</si>
  <si>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</si>
  <si>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ORO-1</t>
  </si>
  <si>
    <t>Nico Williams — Athletic Club (ORO)</t>
  </si>
  <si>
    <t>ORO-2</t>
  </si>
  <si>
    <t>Oblak — Atlético de Madrid (ORO)</t>
  </si>
  <si>
    <t>ORO-3</t>
  </si>
  <si>
    <t>Lamine Yamal — FC Barcelona (ORO)</t>
  </si>
  <si>
    <t>ORO-4</t>
  </si>
  <si>
    <t>Pedri — FC Barcelona (ORO)</t>
  </si>
  <si>
    <t>ORO-5</t>
  </si>
  <si>
    <t>Mbappé — Real Madrid (ORO)</t>
  </si>
  <si>
    <t>PLATA-1</t>
  </si>
  <si>
    <t>Nico Williams — Athletic Club (PLATA)</t>
  </si>
  <si>
    <t>PLATA-2</t>
  </si>
  <si>
    <t>Oblak — Atlético de Madrid (PLATA)</t>
  </si>
  <si>
    <t>PLATA-3</t>
  </si>
  <si>
    <t>Lamine Yamal — FC Barcelona (PLATA)</t>
  </si>
  <si>
    <t>PLATA-4</t>
  </si>
  <si>
    <t>Pedri — FC Barcelona (PLATA)</t>
  </si>
  <si>
    <t>PLATA-5</t>
  </si>
  <si>
    <t>Mbappé — Real Madrid (PLATA)</t>
  </si>
  <si>
    <t>BRONCE-1</t>
  </si>
  <si>
    <t>Nico Williams — Athletic Club (BRONCE)</t>
  </si>
  <si>
    <t>BRONCE-2</t>
  </si>
  <si>
    <t>Oblak — Atlético de Madrid (BRONCE)</t>
  </si>
  <si>
    <t>BRONCE-3</t>
  </si>
  <si>
    <t>Lamine Yamal — FC Barcelona (BRONCE)</t>
  </si>
  <si>
    <t>BRONCE-4</t>
  </si>
  <si>
    <t>Pedri — FC Barcelona (BRONCE)</t>
  </si>
  <si>
    <t>BRONCE-5</t>
  </si>
  <si>
    <t>Mbappé — Real Madrid (BRONCE)</t>
  </si>
  <si>
    <t>CHICLE LIGA 2026-27</t>
  </si>
  <si>
    <t>ESC01</t>
  </si>
  <si>
    <t>Escudo ¡Vamos! — Deportivo Alavés</t>
  </si>
  <si>
    <t>ESC02</t>
  </si>
  <si>
    <t>Escudo ¡Vamos! — Athletic Club</t>
  </si>
  <si>
    <t>ESC03</t>
  </si>
  <si>
    <t>Escudo ¡Vamos! — Atlético de Madrid</t>
  </si>
  <si>
    <t>ESC04</t>
  </si>
  <si>
    <t>Escudo ¡Vamos! — FC Barcelona</t>
  </si>
  <si>
    <t>ESC05</t>
  </si>
  <si>
    <t>Escudo ¡Vamos! — Real Betis Balompié</t>
  </si>
  <si>
    <t>ESC06</t>
  </si>
  <si>
    <t>Escudo ¡Vamos! — RC Celta de Vigo</t>
  </si>
  <si>
    <t>ESC07</t>
  </si>
  <si>
    <t>Escudo ¡Vamos! — RC Deportivo</t>
  </si>
  <si>
    <t>ESC08</t>
  </si>
  <si>
    <t>Escudo ¡Vamos! — Elche CF</t>
  </si>
  <si>
    <t>ESC09</t>
  </si>
  <si>
    <t>Escudo ¡Vamos! — RCD Espanyol</t>
  </si>
  <si>
    <t>ESC10</t>
  </si>
  <si>
    <t>Escudo ¡Vamos! — Getafe CF</t>
  </si>
  <si>
    <t>ESC11</t>
  </si>
  <si>
    <t>Escudo ¡Vamos! — Levante UD</t>
  </si>
  <si>
    <t>ESC12</t>
  </si>
  <si>
    <t>Escudo ¡Vamos! — Real Madrid CF</t>
  </si>
  <si>
    <t>ESC13</t>
  </si>
  <si>
    <t>Escudo ¡Vamos! — Málaga CF</t>
  </si>
  <si>
    <t>ESC14</t>
  </si>
  <si>
    <t>Escudo ¡Vamos! — CA Osasuna</t>
  </si>
  <si>
    <t>ESC15</t>
  </si>
  <si>
    <t>Escudo ¡Vamos! — Real Racing Club</t>
  </si>
  <si>
    <t>ESC16</t>
  </si>
  <si>
    <t>Escudo ¡Vamos! — Rayo Vallecano</t>
  </si>
  <si>
    <t>ESC17</t>
  </si>
  <si>
    <t>Escudo ¡Vamos! — Real Sociedad de Fútbol</t>
  </si>
  <si>
    <t>ESC18</t>
  </si>
  <si>
    <t>Escudo ¡Vamos! — Sevilla FC</t>
  </si>
  <si>
    <t>ESC19</t>
  </si>
  <si>
    <t>Escudo ¡Vamos! — Valencia CF</t>
  </si>
  <si>
    <t>ESC20</t>
  </si>
  <si>
    <t>Escudo ¡Vamos! — Villarreal CF</t>
  </si>
  <si>
    <t>MAS01</t>
  </si>
  <si>
    <t>MasterClass: Boyé (D. Alavés)</t>
  </si>
  <si>
    <t>MAS02</t>
  </si>
  <si>
    <t>MasterClass: Nico Williams (Athletic Club)</t>
  </si>
  <si>
    <t>MAS03</t>
  </si>
  <si>
    <t>MasterClass: Lookman (Atlético de Madrid)</t>
  </si>
  <si>
    <t>MAS04</t>
  </si>
  <si>
    <t>MasterClass: Lamine Yamal (FC Barcelona)</t>
  </si>
  <si>
    <t>MAS05</t>
  </si>
  <si>
    <t>MasterClass: Antony (Real Betis)</t>
  </si>
  <si>
    <t>MAS06</t>
  </si>
  <si>
    <t>MasterClass: Borja Iglesias (RC Celta)</t>
  </si>
  <si>
    <t>MAS07</t>
  </si>
  <si>
    <t>MasterClass: Yeremay (RC Deportivo)</t>
  </si>
  <si>
    <t>MAS08</t>
  </si>
  <si>
    <t>MasterClass: Álvaro Rodríguez (Elche CF)</t>
  </si>
  <si>
    <t>MAS09</t>
  </si>
  <si>
    <t>MasterClass: Puado (RCD Espanyol)</t>
  </si>
  <si>
    <t>MAS10</t>
  </si>
  <si>
    <t>MasterClass: Satriano (Getafe CF)</t>
  </si>
  <si>
    <t>MAS11</t>
  </si>
  <si>
    <t>MasterClass: Carlos Álvarez (Levante UD)</t>
  </si>
  <si>
    <t>MAS12</t>
  </si>
  <si>
    <t>MasterClass: Mbappé (Real Madrid)</t>
  </si>
  <si>
    <t>MAS13</t>
  </si>
  <si>
    <t>MasterClass: Chupe (Málaga CF)</t>
  </si>
  <si>
    <t>MAS14</t>
  </si>
  <si>
    <t>MasterClass: Budimir (CA Osasuna)</t>
  </si>
  <si>
    <t>MAS15</t>
  </si>
  <si>
    <t>MasterClass: Andrés Martín (R. Racing Club)</t>
  </si>
  <si>
    <t>MAS16</t>
  </si>
  <si>
    <t>MasterClass: De Frutos (Rayo Vallecano)</t>
  </si>
  <si>
    <t>MAS17</t>
  </si>
  <si>
    <t>MasterClass: Guedes (Real Sociedad)</t>
  </si>
  <si>
    <t>MAS18</t>
  </si>
  <si>
    <t>MasterClass: Akor Adams (Sevilla FC)</t>
  </si>
  <si>
    <t>MAS19</t>
  </si>
  <si>
    <t>MasterClass: Hugo Duro (Valencia CF)</t>
  </si>
  <si>
    <t>MAS20</t>
  </si>
  <si>
    <t>MasterClass: Moleiro (Villarreal CF)</t>
  </si>
  <si>
    <t>BOX01</t>
  </si>
  <si>
    <t>Box to Box: Blanco (D. Alavés)</t>
  </si>
  <si>
    <t>BOX02</t>
  </si>
  <si>
    <t>Box to Box: Jauregizar (Athletic Club)</t>
  </si>
  <si>
    <t>BOX03</t>
  </si>
  <si>
    <t>Box to Box: Barrios (Atlético de Madrid)</t>
  </si>
  <si>
    <t>BOX04</t>
  </si>
  <si>
    <t>Box to Box: Pedri (FC Barcelona)</t>
  </si>
  <si>
    <t>BOX05</t>
  </si>
  <si>
    <t>Box to Box: Pablo Fornals (Real Betis)</t>
  </si>
  <si>
    <t>BOX06</t>
  </si>
  <si>
    <t>Box to Box: Miguel Román (RC Celta)</t>
  </si>
  <si>
    <t>BOX07</t>
  </si>
  <si>
    <t>Box to Box: Mario Soriano (RC Deportivo)</t>
  </si>
  <si>
    <t>BOX08</t>
  </si>
  <si>
    <t>Box to Box: Marc Aguado (Elche CF)</t>
  </si>
  <si>
    <t>BOX09</t>
  </si>
  <si>
    <t>Box to Box: Edu Expósito (RCD Espanyol)</t>
  </si>
  <si>
    <t>BOX10</t>
  </si>
  <si>
    <t>Box to Box: Mario Martín (Getafe CF)</t>
  </si>
  <si>
    <t>BOX11</t>
  </si>
  <si>
    <t>Box to Box: Olasagasti (Levante UD)</t>
  </si>
  <si>
    <t>BOX12</t>
  </si>
  <si>
    <t>Box to Box: Fede Valverde (Real Madrid)</t>
  </si>
  <si>
    <t>BOX13</t>
  </si>
  <si>
    <t>Box to Box: Dani Lorenzo (Málaga CF)</t>
  </si>
  <si>
    <t>BOX14</t>
  </si>
  <si>
    <t>Box to Box: Moncayola (CA Osasuna)</t>
  </si>
  <si>
    <t>BOX15</t>
  </si>
  <si>
    <t>Box to Box: Gustavo Puerta (R. Racing Club)</t>
  </si>
  <si>
    <t>BOX16</t>
  </si>
  <si>
    <t>Box to Box: Óscar Valentín (Rayo Vallecano)</t>
  </si>
  <si>
    <t>BOX17</t>
  </si>
  <si>
    <t>Box to Box: Carlos Soler (Real Sociedad)</t>
  </si>
  <si>
    <t>BOX18</t>
  </si>
  <si>
    <t>Box to Box: Sow (Sevilla FC)</t>
  </si>
  <si>
    <t>BOX19</t>
  </si>
  <si>
    <t>Box to Box: Pepelu (Valencia CF)</t>
  </si>
  <si>
    <t>BOX20</t>
  </si>
  <si>
    <t>Box to Box: Pape Gueye (Villarreal CF)</t>
  </si>
  <si>
    <t>QE01</t>
  </si>
  <si>
    <t>¿Quién es? — Deportivo Alavés</t>
  </si>
  <si>
    <t>QE02</t>
  </si>
  <si>
    <t>¿Quién es? — Athletic Club</t>
  </si>
  <si>
    <t>QE03</t>
  </si>
  <si>
    <t>¿Quién es? — Atlético de Madrid</t>
  </si>
  <si>
    <t>QE04</t>
  </si>
  <si>
    <t>¿Quién es? — FC Barcelona</t>
  </si>
  <si>
    <t>QE05</t>
  </si>
  <si>
    <t>¿Quién es? — Real Betis Balompié</t>
  </si>
  <si>
    <t>QE06</t>
  </si>
  <si>
    <t>¿Quién es? — RC Celta de Vigo</t>
  </si>
  <si>
    <t>QE07</t>
  </si>
  <si>
    <t>¿Quién es? — RC Deportivo</t>
  </si>
  <si>
    <t>QE08</t>
  </si>
  <si>
    <t>¿Quién es? — Elche CF</t>
  </si>
  <si>
    <t>QE09</t>
  </si>
  <si>
    <t>¿Quién es? — RCD Espanyol</t>
  </si>
  <si>
    <t>QE10</t>
  </si>
  <si>
    <t>¿Quién es? — Getafe CF</t>
  </si>
  <si>
    <t>QE11</t>
  </si>
  <si>
    <t>¿Quién es? — Levante UD</t>
  </si>
  <si>
    <t>QE12</t>
  </si>
  <si>
    <t>¿Quién es? — Real Madrid CF</t>
  </si>
  <si>
    <t>QE13</t>
  </si>
  <si>
    <t>¿Quién es? — Málaga CF</t>
  </si>
  <si>
    <t>QE14</t>
  </si>
  <si>
    <t>¿Quién es? — CA Osasuna</t>
  </si>
  <si>
    <t>QE15</t>
  </si>
  <si>
    <t>¿Quién es? — R. Racing Club</t>
  </si>
  <si>
    <t>QE16</t>
  </si>
  <si>
    <t>¿Quién es? — Rayo Vallecano</t>
  </si>
  <si>
    <t>QE17</t>
  </si>
  <si>
    <t>¿Quién es? — Real Sociedad de Fútbol</t>
  </si>
  <si>
    <t>QE18</t>
  </si>
  <si>
    <t>¿Quién es? — Sevilla FC</t>
  </si>
  <si>
    <t>QE19</t>
  </si>
  <si>
    <t>¿Quién es? — Valencia CF</t>
  </si>
  <si>
    <t>QE20</t>
  </si>
  <si>
    <t>¿Quién es? — Villarreal CF</t>
  </si>
  <si>
    <t>Sørloth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</si>
</sst>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sz val="9"/>
      <color rgb="FF000000"/>
      <name val="Arial"/>
    </font>
    <font>
      <sz val="9"/>
      <name val="Arial"/>
      <family val="2"/>
    </font>
    <font>
      <sz val="9"/>
      <color rgb="FF000000"/>
      <name val="Arial"/>
      <family val="2"/>
    </font>
    <font>
      <b/>
      <sz val="13"/>
      <color rgb="FFFFFFFF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i/>
      <sz val="9"/>
      <color rgb="FF000000"/>
      <name val="Arial"/>
    </font>
  </fonts>
  <fills count="53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1E3A6E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74B5E3"/>
      </patternFill>
    </fill>
    <fill>
      <patternFill patternType="solid">
        <fgColor rgb="FF003DA5"/>
      </patternFill>
    </fill>
    <fill>
      <patternFill patternType="solid">
        <fgColor rgb="FF006633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E8E8E8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FFD700"/>
      </patternFill>
    </fill>
    <fill>
      <patternFill patternType="solid">
        <fgColor rgb="FF7B2D8B"/>
      </patternFill>
    </fill>
    <fill>
      <patternFill patternType="solid">
        <fgColor rgb="FF2C3E50"/>
      </patternFill>
    </fill>
    <fill>
      <patternFill patternType="solid">
        <fgColor rgb="FFB8860B"/>
      </patternFill>
    </fill>
    <fill>
      <patternFill patternType="solid">
        <fgColor rgb="FF8B0000"/>
      </patternFill>
    </fill>
    <fill>
      <patternFill patternType="solid">
        <fgColor rgb="FFE63946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1A5276"/>
      </patternFill>
    </fill>
    <fill>
      <patternFill patternType="solid">
        <fgColor rgb="FF2E4A7A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3" fillId="38" borderId="2" xfId="0" applyFont="1" applyFill="1" applyBorder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40" borderId="2" xfId="0" applyFont="1" applyFill="1" applyBorder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8" fillId="36" borderId="2" xfId="0" applyFont="1" applyFill="1" applyBorder="1" applyAlignment="1">
      <alignment horizontal="left" vertical="center"/>
    </xf>
    <xf numFmtId="0" fontId="0" fillId="37" borderId="2" xfId="0" applyFill="1" applyBorder="1" applyAlignment="1">
      <alignment horizontal="center" vertical="center"/>
    </xf>
    <xf numFmtId="0" fontId="0" fillId="38" borderId="2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40" borderId="2" xfId="0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8" fillId="42" borderId="2" xfId="0" applyFont="1" applyFill="1" applyBorder="1" applyAlignment="1">
      <alignment horizontal="left" vertical="center"/>
    </xf>
    <xf numFmtId="0" fontId="10" fillId="37" borderId="2" xfId="0" applyFont="1" applyFill="1" applyBorder="1" applyAlignment="1">
      <alignment horizontal="center" vertical="center"/>
    </xf>
    <xf numFmtId="0" fontId="12" fillId="38" borderId="2" xfId="0" applyFont="1" applyFill="1" applyBorder="1" applyAlignment="1">
      <alignment horizontal="center" vertical="center"/>
    </xf>
    <xf numFmtId="0" fontId="10" fillId="39" borderId="2" xfId="0" applyFont="1" applyFill="1" applyBorder="1" applyAlignment="1">
      <alignment horizontal="center" vertical="center"/>
    </xf>
    <xf numFmtId="0" fontId="10" fillId="40" borderId="2" xfId="0" applyFont="1" applyFill="1" applyBorder="1" applyAlignment="1">
      <alignment horizontal="center" vertical="center"/>
    </xf>
    <xf numFmtId="0" fontId="10" fillId="38" borderId="2" xfId="0" applyFont="1" applyFill="1" applyBorder="1" applyAlignment="1">
      <alignment horizontal="center" vertical="center"/>
    </xf>
    <xf numFmtId="0" fontId="11" fillId="38" borderId="2" xfId="0" applyFont="1" applyFill="1" applyBorder="1" applyAlignment="1">
      <alignment horizontal="center" vertical="center"/>
    </xf>
    <xf numFmtId="0" fontId="14" fillId="44" borderId="2" xfId="0" applyFont="1" applyFill="1" applyBorder="1" applyAlignment="1">
      <alignment horizontal="center" vertical="center"/>
    </xf>
    <xf numFmtId="0" fontId="8" fillId="36" borderId="3" xfId="0" applyFont="1" applyFill="1" applyBorder="1" applyAlignment="1">
      <alignment horizontal="left" vertical="center"/>
    </xf>
    <xf numFmtId="0" fontId="8" fillId="42" borderId="3" xfId="0" applyFont="1" applyFill="1" applyBorder="1" applyAlignment="1">
      <alignment horizontal="left" vertical="center"/>
    </xf>
    <xf numFmtId="0" fontId="7" fillId="45" borderId="2" xfId="0" applyFont="1" applyFill="1" applyBorder="1" applyAlignment="1">
      <alignment horizontal="center" vertical="center"/>
    </xf>
    <xf numFmtId="0" fontId="8" fillId="45" borderId="3" xfId="0" applyFont="1" applyFill="1" applyBorder="1" applyAlignment="1">
      <alignment horizontal="left" vertical="center"/>
    </xf>
    <xf numFmtId="0" fontId="11" fillId="37" borderId="2" xfId="0" applyFont="1" applyFill="1" applyBorder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  <xf numFmtId="0" fontId="11" fillId="40" borderId="2" xfId="0" applyFont="1" applyFill="1" applyBorder="1" applyAlignment="1">
      <alignment horizontal="center" vertical="center"/>
    </xf>
    <xf numFmtId="0" fontId="17" fillId="0" borderId="0" xfId="0" applyFont="1"/>
    <xf numFmtId="0" fontId="15" fillId="46" borderId="4" xfId="0" applyFont="1" applyFill="1" applyBorder="1" applyAlignment="1">
      <alignment horizontal="center" vertical="center"/>
    </xf>
    <xf numFmtId="0" fontId="16" fillId="46" borderId="4" xfId="0" applyFont="1" applyFill="1" applyBorder="1" applyAlignment="1">
      <alignment horizontal="left" vertical="center"/>
    </xf>
    <xf numFmtId="0" fontId="16" fillId="47" borderId="4" xfId="0" applyFont="1" applyFill="1" applyBorder="1" applyAlignment="1">
      <alignment horizontal="center" vertical="center"/>
    </xf>
    <xf numFmtId="0" fontId="16" fillId="48" borderId="4" xfId="0" applyFont="1" applyFill="1" applyBorder="1" applyAlignment="1">
      <alignment horizontal="center" vertical="center"/>
    </xf>
    <xf numFmtId="0" fontId="16" fillId="49" borderId="4" xfId="0" applyFont="1" applyFill="1" applyBorder="1" applyAlignment="1">
      <alignment horizontal="center" vertical="center"/>
    </xf>
    <xf numFmtId="0" fontId="16" fillId="50" borderId="4" xfId="0" applyFont="1" applyFill="1" applyBorder="1" applyAlignment="1">
      <alignment horizontal="center" vertical="center"/>
    </xf>
    <xf numFmtId="0" fontId="15" fillId="51" borderId="4" xfId="0" applyFont="1" applyFill="1" applyBorder="1" applyAlignment="1">
      <alignment horizontal="center" vertical="center"/>
    </xf>
    <xf numFmtId="0" fontId="15" fillId="52" borderId="4" xfId="0" applyFont="1" applyFill="1" applyBorder="1" applyAlignment="1">
      <alignment horizontal="center" vertical="center"/>
    </xf>
    <xf numFmtId="0" fontId="16" fillId="52" borderId="4" xfId="0" applyFont="1" applyFill="1" applyBorder="1" applyAlignment="1">
      <alignment horizontal="left" vertical="center"/>
    </xf>
    <xf numFmtId="0" fontId="16" fillId="37" borderId="2" xfId="0" applyFont="1" applyFill="1" applyBorder="1" applyAlignment="1">
      <alignment horizontal="center" vertical="center"/>
    </xf>
    <xf numFmtId="0" fontId="16" fillId="38" borderId="2" xfId="0" applyFont="1" applyFill="1" applyBorder="1" applyAlignment="1">
      <alignment horizontal="center" vertical="center"/>
    </xf>
    <xf numFmtId="0" fontId="16" fillId="39" borderId="2" xfId="0" applyFont="1" applyFill="1" applyBorder="1" applyAlignment="1">
      <alignment horizontal="center" vertical="center"/>
    </xf>
    <xf numFmtId="0" fontId="16" fillId="40" borderId="2" xfId="0" applyFont="1" applyFill="1" applyBorder="1" applyAlignment="1">
      <alignment horizontal="center" vertical="center"/>
    </xf>
    <xf numFmtId="0" fontId="16" fillId="49" borderId="4" xfId="0" quotePrefix="1" applyFont="1" applyFill="1" applyBorder="1" applyAlignment="1">
      <alignment horizontal="center" vertical="center"/>
    </xf>
    <xf numFmtId="0" fontId="10" fillId="48" borderId="4" xfId="0" applyFont="1" applyFill="1" applyBorder="1" applyAlignment="1">
      <alignment horizontal="center" vertical="center"/>
    </xf>
    <xf numFmtId="0" fontId="10" fillId="46" borderId="4" xfId="0" applyFont="1" applyFill="1" applyBorder="1" applyAlignment="1">
      <alignment horizontal="left" vertical="center"/>
    </xf>
    <xf numFmtId="0" fontId="10" fillId="47" borderId="4" xfId="0" applyFont="1" applyFill="1" applyBorder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20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6" fillId="22" borderId="0" xfId="0" applyFont="1" applyFill="1" applyAlignment="1">
      <alignment horizontal="center" vertical="center"/>
    </xf>
    <xf numFmtId="0" fontId="6" fillId="23" borderId="0" xfId="0" applyFont="1" applyFill="1" applyAlignment="1">
      <alignment horizontal="center" vertical="center"/>
    </xf>
    <xf numFmtId="0" fontId="6" fillId="24" borderId="0" xfId="0" applyFont="1" applyFill="1" applyAlignment="1">
      <alignment horizontal="center" vertical="center"/>
    </xf>
    <xf numFmtId="0" fontId="6" fillId="25" borderId="0" xfId="0" applyFont="1" applyFill="1" applyAlignment="1">
      <alignment horizontal="center" vertical="center"/>
    </xf>
    <xf numFmtId="0" fontId="9" fillId="26" borderId="0" xfId="0" applyFont="1" applyFill="1" applyAlignment="1">
      <alignment horizontal="center" vertical="center"/>
    </xf>
    <xf numFmtId="0" fontId="6" fillId="27" borderId="0" xfId="0" applyFont="1" applyFill="1" applyAlignment="1">
      <alignment horizontal="center" vertical="center"/>
    </xf>
    <xf numFmtId="0" fontId="6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13" fillId="4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1" borderId="0" xfId="0" applyFont="1" applyFill="1" applyAlignment="1">
      <alignment horizontal="center" vertical="center"/>
    </xf>
    <xf numFmtId="0" fontId="6" fillId="32" borderId="0" xfId="0" applyFont="1" applyFill="1" applyAlignment="1">
      <alignment horizontal="center" vertical="center"/>
    </xf>
    <xf numFmtId="0" fontId="6" fillId="33" borderId="0" xfId="0" applyFont="1" applyFill="1" applyAlignment="1">
      <alignment horizontal="center" vertical="center"/>
    </xf>
    <xf numFmtId="0" fontId="6" fillId="34" borderId="0" xfId="0" applyFont="1" applyFill="1" applyAlignment="1">
      <alignment horizontal="center" vertical="center"/>
    </xf>
    <xf numFmtId="0" fontId="6" fillId="3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opLeftCell="A3" workbookViewId="0">
      <selection activeCell="J23" sqref="J23"/>
    </sheetView>
  </sheetViews>
  <sheetFormatPr defaultRowHeight="14.4" x14ac:dyDescent="0.3"/>
  <cols>
    <col min="1" max="1" width="30" customWidth="1"/>
    <col min="2" max="7" width="12" customWidth="1"/>
  </cols>
  <sheetData>
    <row r="1" spans="1:7" ht="30" customHeight="1" x14ac:dyDescent="0.3">
      <c r="A1" s="77" t="s">
        <v>55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56</v>
      </c>
      <c r="B2" s="1" t="s">
        <v>57</v>
      </c>
      <c r="C2" s="1" t="s">
        <v>58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2" t="s">
        <v>59</v>
      </c>
      <c r="B3" s="3">
        <v>23</v>
      </c>
      <c r="C3" s="4">
        <f>COUNTIF('D. ALAVÉS'!C3:C25,"")</f>
        <v>6</v>
      </c>
      <c r="D3" s="5">
        <f>COUNTIF('D. ALAVÉS'!D3:D25,"X")</f>
        <v>3</v>
      </c>
      <c r="E3" s="6">
        <f>SUMIF('D. ALAVÉS'!E3:E25,"&gt;"&amp;0,'D. ALAVÉS'!E3:E25)</f>
        <v>16</v>
      </c>
      <c r="F3" s="7">
        <f>SUM('D. ALAVÉS'!F3:F25)</f>
        <v>16</v>
      </c>
      <c r="G3" s="8">
        <f>SUM('D. ALAVÉS'!G3:G25)</f>
        <v>0</v>
      </c>
    </row>
    <row r="4" spans="1:7" ht="16.2" customHeight="1" x14ac:dyDescent="0.3">
      <c r="A4" s="9" t="s">
        <v>60</v>
      </c>
      <c r="B4" s="10">
        <v>24</v>
      </c>
      <c r="C4" s="4">
        <f>COUNTIF('ATHLETIC CLUB'!C3:C26,"")</f>
        <v>5</v>
      </c>
      <c r="D4" s="5">
        <f>COUNTIF('ATHLETIC CLUB'!D3:D26,"X")</f>
        <v>1</v>
      </c>
      <c r="E4" s="6">
        <f>SUMIF('ATHLETIC CLUB'!E3:E26,"&gt;"&amp;0,'ATHLETIC CLUB'!E3:E26)</f>
        <v>17</v>
      </c>
      <c r="F4" s="7">
        <f>SUM('ATHLETIC CLUB'!F3:F26)</f>
        <v>17</v>
      </c>
      <c r="G4" s="8">
        <f>SUM('ATHLETIC CLUB'!G3:G26)</f>
        <v>0</v>
      </c>
    </row>
    <row r="5" spans="1:7" ht="16.2" customHeight="1" x14ac:dyDescent="0.3">
      <c r="A5" s="2" t="s">
        <v>61</v>
      </c>
      <c r="B5" s="3">
        <v>24</v>
      </c>
      <c r="C5" s="4">
        <f>COUNTIF('ATLÉTICO DE MADRID'!C3:C26,"")</f>
        <v>7</v>
      </c>
      <c r="D5" s="5">
        <f>COUNTIF('ATLÉTICO DE MADRID'!D3:D26,"X")</f>
        <v>2</v>
      </c>
      <c r="E5" s="6">
        <f>SUMIF('ATLÉTICO DE MADRID'!E3:E26,"&gt;"&amp;0,'ATLÉTICO DE MADRID'!E3:E26)</f>
        <v>16</v>
      </c>
      <c r="F5" s="7">
        <f>SUM('ATLÉTICO DE MADRID'!F3:F26)</f>
        <v>16</v>
      </c>
      <c r="G5" s="8">
        <f>SUM('ATLÉTICO DE MADRID'!G3:G26)</f>
        <v>0</v>
      </c>
    </row>
    <row r="6" spans="1:7" ht="16.2" customHeight="1" x14ac:dyDescent="0.3">
      <c r="A6" s="9" t="s">
        <v>62</v>
      </c>
      <c r="B6" s="10">
        <v>22</v>
      </c>
      <c r="C6" s="4">
        <f>COUNTIF('FC BARCELONA'!C3:C24,"")</f>
        <v>3</v>
      </c>
      <c r="D6" s="5">
        <f>COUNTIF('FC BARCELONA'!D3:D24,"X")</f>
        <v>1</v>
      </c>
      <c r="E6" s="6">
        <f>SUMIF('FC BARCELONA'!E3:E24,"&gt;"&amp;0,'FC BARCELONA'!E3:E24)</f>
        <v>13</v>
      </c>
      <c r="F6" s="7">
        <f>SUM('FC BARCELONA'!F3:F24)</f>
        <v>13</v>
      </c>
      <c r="G6" s="8">
        <f>SUM('FC BARCELONA'!G3:G24)</f>
        <v>0</v>
      </c>
    </row>
    <row r="7" spans="1:7" ht="16.2" customHeight="1" x14ac:dyDescent="0.3">
      <c r="A7" s="2" t="s">
        <v>0</v>
      </c>
      <c r="B7" s="3">
        <v>23</v>
      </c>
      <c r="C7" s="4">
        <f>COUNTIF('REAL BETIS'!C3:C25,"")</f>
        <v>5</v>
      </c>
      <c r="D7" s="5">
        <f>COUNTIF('REAL BETIS'!D3:D25,"X")</f>
        <v>2</v>
      </c>
      <c r="E7" s="6">
        <f>SUMIF('REAL BETIS'!E3:E25,"&gt;"&amp;0,'REAL BETIS'!E3:E25)</f>
        <v>11</v>
      </c>
      <c r="F7" s="7">
        <f>SUM('REAL BETIS'!F3:F25)</f>
        <v>11</v>
      </c>
      <c r="G7" s="8">
        <f>SUM('REAL BETIS'!G3:G25)</f>
        <v>0</v>
      </c>
    </row>
    <row r="8" spans="1:7" ht="16.2" customHeight="1" x14ac:dyDescent="0.3">
      <c r="A8" s="9" t="s">
        <v>63</v>
      </c>
      <c r="B8" s="10">
        <v>24</v>
      </c>
      <c r="C8" s="4">
        <f>COUNTIF('RC CELTA DE VIGO'!C3:C26,"")</f>
        <v>5</v>
      </c>
      <c r="D8" s="5">
        <f>COUNTIF('RC CELTA DE VIGO'!D3:D26,"X")</f>
        <v>0</v>
      </c>
      <c r="E8" s="6">
        <f>SUMIF('RC CELTA DE VIGO'!E3:E26,"&gt;"&amp;0,'RC CELTA DE VIGO'!E3:E26)</f>
        <v>11</v>
      </c>
      <c r="F8" s="7">
        <f>SUM('RC CELTA DE VIGO'!F3:F26)</f>
        <v>11</v>
      </c>
      <c r="G8" s="8">
        <f>SUM('RC CELTA DE VIGO'!G3:G26)</f>
        <v>0</v>
      </c>
    </row>
    <row r="9" spans="1:7" ht="16.2" customHeight="1" x14ac:dyDescent="0.3">
      <c r="A9" s="2" t="s">
        <v>64</v>
      </c>
      <c r="B9" s="3">
        <v>23</v>
      </c>
      <c r="C9" s="4">
        <f>COUNTIF('RC DEPORTIVO'!C3:C25,"")</f>
        <v>4</v>
      </c>
      <c r="D9" s="5">
        <f>COUNTIF('RC DEPORTIVO'!D3:D25,"X")</f>
        <v>1</v>
      </c>
      <c r="E9" s="6">
        <f>SUMIF('RC DEPORTIVO'!E3:E25,"&gt;"&amp;0,'RC DEPORTIVO'!E3:E25)</f>
        <v>12</v>
      </c>
      <c r="F9" s="7">
        <f>SUM('RC DEPORTIVO'!F3:F25)</f>
        <v>12</v>
      </c>
      <c r="G9" s="8">
        <f>SUM('RC DEPORTIVO'!G3:G25)</f>
        <v>0</v>
      </c>
    </row>
    <row r="10" spans="1:7" ht="16.2" customHeight="1" x14ac:dyDescent="0.3">
      <c r="A10" s="9" t="s">
        <v>65</v>
      </c>
      <c r="B10" s="10">
        <v>23</v>
      </c>
      <c r="C10" s="4">
        <f>COUNTIF('ELCHE CF'!C3:C25,"")</f>
        <v>6</v>
      </c>
      <c r="D10" s="5">
        <f>COUNTIF('ELCHE CF'!D3:D25,"X")</f>
        <v>1</v>
      </c>
      <c r="E10" s="6">
        <f>SUMIF('ELCHE CF'!E3:E25,"&gt;"&amp;0,'ELCHE CF'!E3:E25)</f>
        <v>15</v>
      </c>
      <c r="F10" s="7">
        <f>SUM('ELCHE CF'!F3:F25)</f>
        <v>14</v>
      </c>
      <c r="G10" s="8">
        <f>SUM('ELCHE CF'!G3:G25)</f>
        <v>1</v>
      </c>
    </row>
    <row r="11" spans="1:7" ht="16.2" customHeight="1" x14ac:dyDescent="0.3">
      <c r="A11" s="2" t="s">
        <v>66</v>
      </c>
      <c r="B11" s="3">
        <v>23</v>
      </c>
      <c r="C11" s="4">
        <f>COUNTIF('RCD ESPANYOL'!C3:C25,"")</f>
        <v>5</v>
      </c>
      <c r="D11" s="5">
        <f>COUNTIF('RCD ESPANYOL'!D3:D25,"X")</f>
        <v>3</v>
      </c>
      <c r="E11" s="6">
        <f>SUMIF('RCD ESPANYOL'!E3:E25,"&gt;"&amp;0,'RCD ESPANYOL'!E3:E25)</f>
        <v>19</v>
      </c>
      <c r="F11" s="7">
        <f>SUM('RCD ESPANYOL'!F3:F25)</f>
        <v>19</v>
      </c>
      <c r="G11" s="8">
        <f>SUM('RCD ESPANYOL'!G3:G25)</f>
        <v>0</v>
      </c>
    </row>
    <row r="12" spans="1:7" ht="16.2" customHeight="1" x14ac:dyDescent="0.3">
      <c r="A12" s="9" t="s">
        <v>67</v>
      </c>
      <c r="B12" s="10">
        <v>21</v>
      </c>
      <c r="C12" s="4">
        <f>COUNTIF('GETAFE CF'!C3:C23,"")</f>
        <v>5</v>
      </c>
      <c r="D12" s="5">
        <f>COUNTIF('GETAFE CF'!D3:D23,"X")</f>
        <v>3</v>
      </c>
      <c r="E12" s="6">
        <f>SUMIF('GETAFE CF'!E3:E23,"&gt;"&amp;0,'GETAFE CF'!E3:E23)</f>
        <v>10</v>
      </c>
      <c r="F12" s="7">
        <f>SUM('GETAFE CF'!F3:F23)</f>
        <v>10</v>
      </c>
      <c r="G12" s="8">
        <f>SUM('GETAFE CF'!G3:G23)</f>
        <v>0</v>
      </c>
    </row>
    <row r="13" spans="1:7" ht="16.2" customHeight="1" x14ac:dyDescent="0.3">
      <c r="A13" s="2" t="s">
        <v>68</v>
      </c>
      <c r="B13" s="3">
        <v>24</v>
      </c>
      <c r="C13" s="4">
        <f>COUNTIF('LEVANTE UD'!C3:C26,"")</f>
        <v>8</v>
      </c>
      <c r="D13" s="5">
        <f>COUNTIF('LEVANTE UD'!D3:D26,"X")</f>
        <v>3</v>
      </c>
      <c r="E13" s="6">
        <f>SUMIF('LEVANTE UD'!E3:E26,"&gt;"&amp;0,'LEVANTE UD'!E3:E26)</f>
        <v>16</v>
      </c>
      <c r="F13" s="7">
        <f>SUM('LEVANTE UD'!F3:F26)</f>
        <v>16</v>
      </c>
      <c r="G13" s="8">
        <f>SUM('LEVANTE UD'!G3:G26)</f>
        <v>0</v>
      </c>
    </row>
    <row r="14" spans="1:7" ht="16.2" customHeight="1" x14ac:dyDescent="0.3">
      <c r="A14" s="9" t="s">
        <v>69</v>
      </c>
      <c r="B14" s="10">
        <v>25</v>
      </c>
      <c r="C14" s="4">
        <f>COUNTIF('REAL MADRID CF'!C3:C27,"")</f>
        <v>6</v>
      </c>
      <c r="D14" s="5">
        <f>COUNTIF('REAL MADRID CF'!D3:D27,"X")</f>
        <v>1</v>
      </c>
      <c r="E14" s="6">
        <f>SUMIF('REAL MADRID CF'!E3:E27,"&gt;"&amp;0,'REAL MADRID CF'!E3:E27)</f>
        <v>29</v>
      </c>
      <c r="F14" s="7">
        <f>SUM('REAL MADRID CF'!F3:F27)</f>
        <v>29</v>
      </c>
      <c r="G14" s="8">
        <f>SUM('REAL MADRID CF'!G3:G27)</f>
        <v>0</v>
      </c>
    </row>
    <row r="15" spans="1:7" ht="16.2" customHeight="1" x14ac:dyDescent="0.3">
      <c r="A15" s="2" t="s">
        <v>70</v>
      </c>
      <c r="B15" s="3">
        <v>22</v>
      </c>
      <c r="C15" s="4">
        <f>COUNTIF('MÁLAGA CF'!C3:C24,"")</f>
        <v>2</v>
      </c>
      <c r="D15" s="5">
        <f>COUNTIF('MÁLAGA CF'!D3:D24,"X")</f>
        <v>0</v>
      </c>
      <c r="E15" s="6">
        <f>SUMIF('MÁLAGA CF'!E3:E24,"&gt;"&amp;0,'MÁLAGA CF'!E3:E24)</f>
        <v>20</v>
      </c>
      <c r="F15" s="7">
        <f>SUM('MÁLAGA CF'!F3:F24)</f>
        <v>20</v>
      </c>
      <c r="G15" s="8">
        <f>SUM('MÁLAGA CF'!G3:G24)</f>
        <v>0</v>
      </c>
    </row>
    <row r="16" spans="1:7" ht="16.2" customHeight="1" x14ac:dyDescent="0.3">
      <c r="A16" s="9" t="s">
        <v>71</v>
      </c>
      <c r="B16" s="10">
        <v>23</v>
      </c>
      <c r="C16" s="4">
        <f>COUNTIF('CA OSASUNA'!C3:C25,"")</f>
        <v>4</v>
      </c>
      <c r="D16" s="5">
        <f>COUNTIF('CA OSASUNA'!D3:D25,"X")</f>
        <v>1</v>
      </c>
      <c r="E16" s="6">
        <f>SUMIF('CA OSASUNA'!E3:E25,"&gt;"&amp;0,'CA OSASUNA'!E3:E25)</f>
        <v>15</v>
      </c>
      <c r="F16" s="7">
        <f>SUM('CA OSASUNA'!F3:F25)</f>
        <v>15</v>
      </c>
      <c r="G16" s="8">
        <f>SUM('CA OSASUNA'!G3:G25)</f>
        <v>0</v>
      </c>
    </row>
    <row r="17" spans="1:7" ht="16.2" customHeight="1" x14ac:dyDescent="0.3">
      <c r="A17" s="2" t="s">
        <v>72</v>
      </c>
      <c r="B17" s="3">
        <v>25</v>
      </c>
      <c r="C17" s="4">
        <f>COUNTIF('R. RACING CLUB'!C3:C27,"")</f>
        <v>9</v>
      </c>
      <c r="D17" s="5">
        <f>COUNTIF('R. RACING CLUB'!D3:D27,"X")</f>
        <v>4</v>
      </c>
      <c r="E17" s="6">
        <f>SUMIF('R. RACING CLUB'!E3:E27,"&gt;"&amp;0,'R. RACING CLUB'!E3:E27)</f>
        <v>18</v>
      </c>
      <c r="F17" s="7">
        <f>SUM('R. RACING CLUB'!F3:F27)</f>
        <v>18</v>
      </c>
      <c r="G17" s="8">
        <f>SUM('R. RACING CLUB'!G3:G27)</f>
        <v>0</v>
      </c>
    </row>
    <row r="18" spans="1:7" ht="16.2" customHeight="1" x14ac:dyDescent="0.3">
      <c r="A18" s="9" t="s">
        <v>73</v>
      </c>
      <c r="B18" s="10">
        <v>23</v>
      </c>
      <c r="C18" s="4">
        <f>COUNTIF('RAYO VALLECANO'!C3:C25,"")</f>
        <v>5</v>
      </c>
      <c r="D18" s="5">
        <f>COUNTIF('RAYO VALLECANO'!D3:D25,"X")</f>
        <v>2</v>
      </c>
      <c r="E18" s="6">
        <f>SUMIF('RAYO VALLECANO'!E3:E25,"&gt;"&amp;0,'RAYO VALLECANO'!E3:E25)</f>
        <v>12</v>
      </c>
      <c r="F18" s="7">
        <f>SUM('RAYO VALLECANO'!F3:F25)</f>
        <v>12</v>
      </c>
      <c r="G18" s="8">
        <f>SUM('RAYO VALLECANO'!G3:G25)</f>
        <v>0</v>
      </c>
    </row>
    <row r="19" spans="1:7" ht="16.2" customHeight="1" x14ac:dyDescent="0.3">
      <c r="A19" s="2" t="s">
        <v>74</v>
      </c>
      <c r="B19" s="3">
        <v>21</v>
      </c>
      <c r="C19" s="4">
        <f>COUNTIF('REAL SOCIEDAD'!C3:C23,"")</f>
        <v>1</v>
      </c>
      <c r="D19" s="5">
        <f>COUNTIF('REAL SOCIEDAD'!D3:D23,"X")</f>
        <v>0</v>
      </c>
      <c r="E19" s="6">
        <f>SUMIF('REAL SOCIEDAD'!E3:E23,"&gt;"&amp;0,'REAL SOCIEDAD'!E3:E23)</f>
        <v>6</v>
      </c>
      <c r="F19" s="7">
        <f>SUM('REAL SOCIEDAD'!F3:F23)</f>
        <v>6</v>
      </c>
      <c r="G19" s="8">
        <f>SUM('REAL SOCIEDAD'!G3:G23)</f>
        <v>0</v>
      </c>
    </row>
    <row r="20" spans="1:7" ht="16.2" customHeight="1" x14ac:dyDescent="0.3">
      <c r="A20" s="9" t="s">
        <v>75</v>
      </c>
      <c r="B20" s="10">
        <v>24</v>
      </c>
      <c r="C20" s="4">
        <f>COUNTIF('SEVILLA FC'!C3:C26,"")</f>
        <v>9</v>
      </c>
      <c r="D20" s="5">
        <f>COUNTIF('SEVILLA FC'!D3:D26,"X")</f>
        <v>3</v>
      </c>
      <c r="E20" s="6">
        <f>SUMIF('SEVILLA FC'!E3:E26,"&gt;"&amp;0,'SEVILLA FC'!E3:E26)</f>
        <v>21</v>
      </c>
      <c r="F20" s="7">
        <f>SUM('SEVILLA FC'!F3:F26)</f>
        <v>21</v>
      </c>
      <c r="G20" s="8">
        <f>SUM('SEVILLA FC'!G3:G26)</f>
        <v>0</v>
      </c>
    </row>
    <row r="21" spans="1:7" ht="16.2" customHeight="1" x14ac:dyDescent="0.3">
      <c r="A21" s="2" t="s">
        <v>76</v>
      </c>
      <c r="B21" s="3">
        <v>24</v>
      </c>
      <c r="C21" s="4">
        <f>COUNTIF('VALENCIA CF'!C3:C26,"")</f>
        <v>4</v>
      </c>
      <c r="D21" s="5">
        <f>COUNTIF('VALENCIA CF'!D3:D26,"X")</f>
        <v>1</v>
      </c>
      <c r="E21" s="6">
        <f>SUMIF('VALENCIA CF'!E3:E26,"&gt;"&amp;0,'VALENCIA CF'!E3:E26)</f>
        <v>11</v>
      </c>
      <c r="F21" s="7">
        <f>SUM('VALENCIA CF'!F3:F26)</f>
        <v>11</v>
      </c>
      <c r="G21" s="8">
        <f>SUM('VALENCIA CF'!G3:G26)</f>
        <v>0</v>
      </c>
    </row>
    <row r="22" spans="1:7" ht="16.2" customHeight="1" x14ac:dyDescent="0.3">
      <c r="A22" s="9" t="s">
        <v>77</v>
      </c>
      <c r="B22" s="10">
        <v>24</v>
      </c>
      <c r="C22" s="4">
        <f>COUNTIF('VILLARREAL CF'!C3:C26,"")</f>
        <v>5</v>
      </c>
      <c r="D22" s="5">
        <f>COUNTIF('VILLARREAL CF'!D3:D26,"X")</f>
        <v>0</v>
      </c>
      <c r="E22" s="6">
        <f>SUMIF('VILLARREAL CF'!E3:E26,"&gt;"&amp;0,'VILLARREAL CF'!E3:E26)</f>
        <v>14</v>
      </c>
      <c r="F22" s="7">
        <f>SUM('VILLARREAL CF'!F3:F26)</f>
        <v>14</v>
      </c>
      <c r="G22" s="8">
        <f>SUM('VILLARREAL CF'!G3:G26)</f>
        <v>0</v>
      </c>
    </row>
    <row r="23" spans="1:7" ht="16.2" customHeight="1" x14ac:dyDescent="0.3">
      <c r="A23" s="2" t="s">
        <v>78</v>
      </c>
      <c r="B23" s="3">
        <v>15</v>
      </c>
      <c r="C23" s="4">
        <f>COUNTIF('ADN - LALIGA PRIME'!C3:C17,"")</f>
        <v>0</v>
      </c>
      <c r="D23" s="5">
        <f>COUNTIF('ADN - LALIGA PRIME'!D3:D17,"X")</f>
        <v>0</v>
      </c>
      <c r="E23" s="6">
        <f>SUMIF('ADN - LALIGA PRIME'!E3:E17,"&gt;"&amp;0,'ADN - LALIGA PRIME'!E3:E17)</f>
        <v>7</v>
      </c>
      <c r="F23" s="7">
        <f>SUM('ADN - LALIGA PRIME'!F3:F17)</f>
        <v>7</v>
      </c>
      <c r="G23" s="8">
        <f>SUM('ADN - LALIGA PRIME'!G3:G17)</f>
        <v>0</v>
      </c>
    </row>
    <row r="24" spans="1:7" ht="16.2" customHeight="1" x14ac:dyDescent="0.3">
      <c r="A24" s="9" t="s">
        <v>79</v>
      </c>
      <c r="B24" s="10">
        <v>9</v>
      </c>
      <c r="C24" s="4">
        <f>COUNTIF('LALIGA FANTASY'!C3:C11,"")</f>
        <v>0</v>
      </c>
      <c r="D24" s="5">
        <f>COUNTIF('LALIGA FANTASY'!D3:D11,"X")</f>
        <v>0</v>
      </c>
      <c r="E24" s="6">
        <f>SUMIF('LALIGA FANTASY'!E3:E11,"&gt;"&amp;0,'LALIGA FANTASY'!E3:E11)</f>
        <v>4</v>
      </c>
      <c r="F24" s="7">
        <f>SUM('LALIGA FANTASY'!F3:F11)</f>
        <v>4</v>
      </c>
      <c r="G24" s="8">
        <f>SUM('LALIGA FANTASY'!G3:G11)</f>
        <v>0</v>
      </c>
    </row>
    <row r="25" spans="1:7" ht="16.2" customHeight="1" x14ac:dyDescent="0.3">
      <c r="A25" s="2" t="s">
        <v>80</v>
      </c>
      <c r="B25" s="3">
        <v>23</v>
      </c>
      <c r="C25" s="4">
        <f>COUNTIF('DRAFT 23'!C3:C25,"")</f>
        <v>0</v>
      </c>
      <c r="D25" s="5">
        <f>COUNTIF('DRAFT 23'!D3:D25,"X")</f>
        <v>0</v>
      </c>
      <c r="E25" s="6">
        <f>SUMIF('DRAFT 23'!E3:E25,"&gt;"&amp;0,'DRAFT 23'!E3:E25)</f>
        <v>10</v>
      </c>
      <c r="F25" s="7">
        <f>SUM('DRAFT 23'!F3:F25)</f>
        <v>10</v>
      </c>
      <c r="G25" s="8">
        <f>SUM('DRAFT 23'!G3:G25)</f>
        <v>0</v>
      </c>
    </row>
    <row r="26" spans="1:7" ht="16.2" customHeight="1" x14ac:dyDescent="0.3">
      <c r="A26" s="9" t="s">
        <v>81</v>
      </c>
      <c r="B26" s="10">
        <v>23</v>
      </c>
      <c r="C26" s="4">
        <f>COUNTIF('DRAFT 23 KROMIX'!C3:C25,"")</f>
        <v>0</v>
      </c>
      <c r="D26" s="5">
        <f>COUNTIF('DRAFT 23 KROMIX'!D3:D25,"X")</f>
        <v>0</v>
      </c>
      <c r="E26" s="6">
        <f>SUMIF('DRAFT 23 KROMIX'!E3:E25,"&gt;"&amp;0,'DRAFT 23 KROMIX'!E3:E25)</f>
        <v>5</v>
      </c>
      <c r="F26" s="7">
        <f>SUM('DRAFT 23 KROMIX'!F3:F25)</f>
        <v>5</v>
      </c>
      <c r="G26" s="8">
        <f>SUM('DRAFT 23 KROMIX'!G3:G25)</f>
        <v>0</v>
      </c>
    </row>
    <row r="27" spans="1:7" ht="16.2" customHeight="1" x14ac:dyDescent="0.3">
      <c r="A27" s="2" t="s">
        <v>82</v>
      </c>
      <c r="B27" s="3">
        <v>15</v>
      </c>
      <c r="C27" s="4">
        <f>COUNTIF('EXTRA STICKERS'!C3:C17,"")</f>
        <v>13</v>
      </c>
      <c r="D27" s="5">
        <f>COUNTIF('EXTRA STICKERS'!D3:D17,"X")</f>
        <v>0</v>
      </c>
      <c r="E27" s="6">
        <f>SUMIF('EXTRA STICKERS'!E3:E17,"&gt;"&amp;0,'EXTRA STICKERS'!E3:E17)</f>
        <v>0</v>
      </c>
      <c r="F27" s="7">
        <f>SUM('EXTRA STICKERS'!F3:F17)</f>
        <v>0</v>
      </c>
      <c r="G27" s="8">
        <f>SUM('EXTRA STICKERS'!G3:G17)</f>
        <v>0</v>
      </c>
    </row>
    <row r="28" spans="1:7" ht="16.2" customHeight="1" x14ac:dyDescent="0.3">
      <c r="A28" s="9" t="s">
        <v>83</v>
      </c>
      <c r="B28" s="10">
        <v>80</v>
      </c>
      <c r="C28" s="4">
        <f>COUNTIF('CHICLE LIGA 2627'!C3:C82,"")</f>
        <v>20</v>
      </c>
      <c r="D28" s="5">
        <f>COUNTIF('CHICLE LIGA 2627'!D3:D82,"X")</f>
        <v>0</v>
      </c>
      <c r="E28" s="6">
        <f>SUMIF('CHICLE LIGA 2627'!E3:E82,"&gt;"&amp;0,'CHICLE LIGA 2627'!E3:E82)</f>
        <v>35</v>
      </c>
      <c r="F28" s="7">
        <f>SUM('CHICLE LIGA 2627'!F3:F82)</f>
        <v>31</v>
      </c>
      <c r="G28" s="8">
        <f>SUM('CHICLE LIGA 2627'!G3:G82)</f>
        <v>4</v>
      </c>
    </row>
    <row r="29" spans="1:7" ht="16.2" customHeight="1" x14ac:dyDescent="0.3">
      <c r="A29" s="27" t="s">
        <v>84</v>
      </c>
      <c r="B29" s="28">
        <v>40</v>
      </c>
      <c r="C29" s="29">
        <f>COUNTIF('ÚLTIMOS FICHAJES'!C3:C42,"")</f>
        <v>29</v>
      </c>
      <c r="D29" s="30">
        <f>COUNTIF('ÚLTIMOS FICHAJES'!D3:D42,"X")</f>
        <v>29</v>
      </c>
      <c r="E29" s="31">
        <f>SUMIF('ÚLTIMOS FICHAJES'!E3:E42,"&gt;"&amp;0,'ÚLTIMOS FICHAJES'!E3:E42)</f>
        <v>0</v>
      </c>
      <c r="F29" s="32">
        <f>SUM('ÚLTIMOS FICHAJES'!F3:F42)</f>
        <v>0</v>
      </c>
      <c r="G29" s="33">
        <f>SUM('ÚLTIMOS FICHAJES'!G3:G42)</f>
        <v>0</v>
      </c>
    </row>
    <row r="30" spans="1:7" x14ac:dyDescent="0.3">
      <c r="A30" s="11" t="s">
        <v>85</v>
      </c>
      <c r="B30" s="12">
        <f t="shared" ref="B30:G30" si="0">SUM(B3:B29)</f>
        <v>670</v>
      </c>
      <c r="C30" s="13">
        <f t="shared" si="0"/>
        <v>166</v>
      </c>
      <c r="D30" s="14">
        <f t="shared" si="0"/>
        <v>61</v>
      </c>
      <c r="E30" s="15">
        <f t="shared" si="0"/>
        <v>363</v>
      </c>
      <c r="F30" s="16">
        <f t="shared" si="0"/>
        <v>358</v>
      </c>
      <c r="G30" s="17">
        <f t="shared" si="0"/>
        <v>5</v>
      </c>
    </row>
    <row r="31" spans="1:7" x14ac:dyDescent="0.3">
      <c r="A31" s="76"/>
      <c r="B31" s="76"/>
      <c r="C31" s="76"/>
      <c r="D31" s="76"/>
      <c r="E31" s="76"/>
      <c r="F31" s="76"/>
      <c r="G31" s="76"/>
    </row>
    <row r="32" spans="1:7" x14ac:dyDescent="0.3">
      <c r="A32" s="57" t="s">
        <v>86</v>
      </c>
    </row>
  </sheetData>
  <mergeCells count="2">
    <mergeCell ref="A31:G3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pane ySplit="2" topLeftCell="A3" activePane="bottomLeft" state="frozen"/>
      <selection pane="bottomLeft" activeCell="D4" sqref="D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59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87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88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89</v>
      </c>
      <c r="C6" s="60"/>
      <c r="D6" s="72" t="s">
        <v>10</v>
      </c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91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92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93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27</v>
      </c>
      <c r="B10" s="66" t="s">
        <v>94</v>
      </c>
      <c r="C10" s="60"/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95</v>
      </c>
      <c r="B11" s="59" t="s">
        <v>96</v>
      </c>
      <c r="C11" s="60"/>
      <c r="D11" s="72" t="s">
        <v>10</v>
      </c>
      <c r="E11" s="62"/>
      <c r="F11" s="63"/>
      <c r="G11" s="64">
        <f t="shared" si="0"/>
        <v>0</v>
      </c>
    </row>
    <row r="12" spans="1:7" ht="16.2" customHeight="1" x14ac:dyDescent="0.3">
      <c r="A12" s="65" t="s">
        <v>29</v>
      </c>
      <c r="B12" s="66" t="s">
        <v>97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98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99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100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101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41</v>
      </c>
      <c r="B17" s="59" t="s">
        <v>102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43</v>
      </c>
      <c r="B18" s="66" t="s">
        <v>103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45</v>
      </c>
      <c r="B19" s="59" t="s">
        <v>104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47</v>
      </c>
      <c r="B20" s="66" t="s">
        <v>105</v>
      </c>
      <c r="C20" s="60" t="s">
        <v>10</v>
      </c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106</v>
      </c>
      <c r="B21" s="59" t="s">
        <v>54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107</v>
      </c>
      <c r="B22" s="66" t="s">
        <v>108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51</v>
      </c>
      <c r="B23" s="59" t="s">
        <v>109</v>
      </c>
      <c r="C23" s="74" t="s">
        <v>10</v>
      </c>
      <c r="D23" s="61"/>
      <c r="E23" s="62">
        <v>2</v>
      </c>
      <c r="F23" s="63">
        <v>2</v>
      </c>
      <c r="G23" s="64">
        <f t="shared" si="0"/>
        <v>0</v>
      </c>
    </row>
    <row r="24" spans="1:7" ht="16.2" customHeight="1" x14ac:dyDescent="0.3">
      <c r="A24" s="65" t="s">
        <v>53</v>
      </c>
      <c r="B24" s="66" t="s">
        <v>110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2" customHeight="1" x14ac:dyDescent="0.3">
      <c r="A25" s="58" t="s">
        <v>111</v>
      </c>
      <c r="B25" s="59" t="s">
        <v>112</v>
      </c>
      <c r="C25" s="60"/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113</v>
      </c>
      <c r="C4" s="36" t="s">
        <v>10</v>
      </c>
      <c r="D4" s="37"/>
      <c r="E4" s="38">
        <v>1</v>
      </c>
      <c r="F4" s="39">
        <v>1</v>
      </c>
      <c r="G4" s="40">
        <f t="shared" si="0"/>
        <v>0</v>
      </c>
    </row>
    <row r="5" spans="1:7" ht="16.2" customHeight="1" x14ac:dyDescent="0.3">
      <c r="A5" s="34" t="s">
        <v>13</v>
      </c>
      <c r="B5" s="35" t="s">
        <v>114</v>
      </c>
      <c r="C5" s="36" t="s">
        <v>10</v>
      </c>
      <c r="D5" s="37"/>
      <c r="E5" s="38"/>
      <c r="F5" s="39"/>
      <c r="G5" s="40">
        <f t="shared" si="0"/>
        <v>0</v>
      </c>
    </row>
    <row r="6" spans="1:7" ht="16.2" customHeight="1" x14ac:dyDescent="0.3">
      <c r="A6" s="41" t="s">
        <v>15</v>
      </c>
      <c r="B6" s="42" t="s">
        <v>115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116</v>
      </c>
      <c r="C7" s="36" t="s">
        <v>10</v>
      </c>
      <c r="D7" s="37"/>
      <c r="E7" s="38"/>
      <c r="F7" s="39"/>
      <c r="G7" s="40">
        <f t="shared" si="0"/>
        <v>0</v>
      </c>
    </row>
    <row r="8" spans="1:7" ht="16.2" customHeight="1" x14ac:dyDescent="0.3">
      <c r="A8" s="41" t="s">
        <v>117</v>
      </c>
      <c r="B8" s="42" t="s">
        <v>118</v>
      </c>
      <c r="C8" s="36"/>
      <c r="D8" s="37"/>
      <c r="E8" s="38"/>
      <c r="F8" s="39"/>
      <c r="G8" s="40">
        <f t="shared" si="0"/>
        <v>0</v>
      </c>
    </row>
    <row r="9" spans="1:7" ht="16.2" customHeight="1" x14ac:dyDescent="0.3">
      <c r="A9" s="34" t="s">
        <v>119</v>
      </c>
      <c r="B9" s="35" t="s">
        <v>120</v>
      </c>
      <c r="C9" s="36" t="s">
        <v>10</v>
      </c>
      <c r="D9" s="37"/>
      <c r="E9" s="38">
        <v>1</v>
      </c>
      <c r="F9" s="39">
        <v>1</v>
      </c>
      <c r="G9" s="40">
        <f t="shared" si="0"/>
        <v>0</v>
      </c>
    </row>
    <row r="10" spans="1:7" ht="16.2" customHeight="1" x14ac:dyDescent="0.3">
      <c r="A10" s="41" t="s">
        <v>25</v>
      </c>
      <c r="B10" s="42" t="s">
        <v>121</v>
      </c>
      <c r="C10" s="36" t="s">
        <v>10</v>
      </c>
      <c r="D10" s="37"/>
      <c r="E10" s="38">
        <v>1</v>
      </c>
      <c r="F10" s="39">
        <v>1</v>
      </c>
      <c r="G10" s="40">
        <f t="shared" si="0"/>
        <v>0</v>
      </c>
    </row>
    <row r="11" spans="1:7" ht="16.2" customHeight="1" x14ac:dyDescent="0.3">
      <c r="A11" s="34" t="s">
        <v>27</v>
      </c>
      <c r="B11" s="35" t="s">
        <v>122</v>
      </c>
      <c r="C11" s="36" t="s">
        <v>10</v>
      </c>
      <c r="D11" s="37"/>
      <c r="E11" s="38">
        <v>1</v>
      </c>
      <c r="F11" s="39">
        <v>1</v>
      </c>
      <c r="G11" s="40">
        <f t="shared" si="0"/>
        <v>0</v>
      </c>
    </row>
    <row r="12" spans="1:7" ht="16.2" customHeight="1" x14ac:dyDescent="0.3">
      <c r="A12" s="41" t="s">
        <v>123</v>
      </c>
      <c r="B12" s="42" t="s">
        <v>124</v>
      </c>
      <c r="C12" s="36" t="s">
        <v>10</v>
      </c>
      <c r="D12" s="37"/>
      <c r="E12" s="38"/>
      <c r="F12" s="39"/>
      <c r="G12" s="40">
        <f t="shared" si="0"/>
        <v>0</v>
      </c>
    </row>
    <row r="13" spans="1:7" ht="16.2" customHeight="1" x14ac:dyDescent="0.3">
      <c r="A13" s="34" t="s">
        <v>125</v>
      </c>
      <c r="B13" s="50" t="s">
        <v>126</v>
      </c>
      <c r="C13" s="36"/>
      <c r="D13" s="37"/>
      <c r="E13" s="38"/>
      <c r="F13" s="39"/>
      <c r="G13" s="40">
        <f t="shared" si="0"/>
        <v>0</v>
      </c>
    </row>
    <row r="14" spans="1:7" ht="16.2" customHeight="1" x14ac:dyDescent="0.3">
      <c r="A14" s="41" t="s">
        <v>31</v>
      </c>
      <c r="B14" s="42" t="s">
        <v>127</v>
      </c>
      <c r="C14" s="36" t="s">
        <v>10</v>
      </c>
      <c r="D14" s="37"/>
      <c r="E14" s="38">
        <v>1</v>
      </c>
      <c r="F14" s="39">
        <v>1</v>
      </c>
      <c r="G14" s="40">
        <f t="shared" si="0"/>
        <v>0</v>
      </c>
    </row>
    <row r="15" spans="1:7" ht="16.2" customHeight="1" x14ac:dyDescent="0.3">
      <c r="A15" s="34" t="s">
        <v>33</v>
      </c>
      <c r="B15" s="35" t="s">
        <v>128</v>
      </c>
      <c r="C15" s="36" t="s">
        <v>10</v>
      </c>
      <c r="D15" s="37"/>
      <c r="E15" s="38">
        <v>1</v>
      </c>
      <c r="F15" s="39">
        <v>1</v>
      </c>
      <c r="G15" s="40">
        <f t="shared" si="0"/>
        <v>0</v>
      </c>
    </row>
    <row r="16" spans="1:7" ht="16.2" customHeight="1" x14ac:dyDescent="0.3">
      <c r="A16" s="41" t="s">
        <v>37</v>
      </c>
      <c r="B16" s="42" t="s">
        <v>129</v>
      </c>
      <c r="C16" s="36" t="s">
        <v>10</v>
      </c>
      <c r="D16" s="37"/>
      <c r="E16" s="38">
        <v>1</v>
      </c>
      <c r="F16" s="39">
        <v>1</v>
      </c>
      <c r="G16" s="40">
        <f t="shared" si="0"/>
        <v>0</v>
      </c>
    </row>
    <row r="17" spans="1:7" ht="16.2" customHeight="1" x14ac:dyDescent="0.3">
      <c r="A17" s="34" t="s">
        <v>39</v>
      </c>
      <c r="B17" s="50" t="s">
        <v>130</v>
      </c>
      <c r="C17" s="36"/>
      <c r="D17" s="37"/>
      <c r="E17" s="38"/>
      <c r="F17" s="39"/>
      <c r="G17" s="40">
        <f t="shared" si="0"/>
        <v>0</v>
      </c>
    </row>
    <row r="18" spans="1:7" ht="16.2" customHeight="1" x14ac:dyDescent="0.3">
      <c r="A18" s="52" t="s">
        <v>131</v>
      </c>
      <c r="B18" s="53" t="s">
        <v>132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2" customHeight="1" x14ac:dyDescent="0.3">
      <c r="A19" s="34" t="s">
        <v>41</v>
      </c>
      <c r="B19" s="35" t="s">
        <v>133</v>
      </c>
      <c r="C19" s="36" t="s">
        <v>10</v>
      </c>
      <c r="D19" s="37"/>
      <c r="E19" s="38"/>
      <c r="F19" s="39"/>
      <c r="G19" s="40">
        <f t="shared" si="0"/>
        <v>0</v>
      </c>
    </row>
    <row r="20" spans="1:7" ht="16.2" customHeight="1" x14ac:dyDescent="0.3">
      <c r="A20" s="41" t="s">
        <v>43</v>
      </c>
      <c r="B20" s="42" t="s">
        <v>134</v>
      </c>
      <c r="C20" s="36" t="s">
        <v>10</v>
      </c>
      <c r="D20" s="37"/>
      <c r="E20" s="38">
        <v>1</v>
      </c>
      <c r="F20" s="39">
        <v>1</v>
      </c>
      <c r="G20" s="40">
        <f t="shared" si="0"/>
        <v>0</v>
      </c>
    </row>
    <row r="21" spans="1:7" ht="16.2" customHeight="1" x14ac:dyDescent="0.3">
      <c r="A21" s="34" t="s">
        <v>45</v>
      </c>
      <c r="B21" s="35" t="s">
        <v>135</v>
      </c>
      <c r="C21" s="36" t="s">
        <v>10</v>
      </c>
      <c r="D21" s="37"/>
      <c r="E21" s="38">
        <v>2</v>
      </c>
      <c r="F21" s="39">
        <v>2</v>
      </c>
      <c r="G21" s="40">
        <f t="shared" si="0"/>
        <v>0</v>
      </c>
    </row>
    <row r="22" spans="1:7" ht="16.2" customHeight="1" x14ac:dyDescent="0.3">
      <c r="A22" s="41" t="s">
        <v>136</v>
      </c>
      <c r="B22" s="42" t="s">
        <v>137</v>
      </c>
      <c r="C22" s="36"/>
      <c r="D22" s="37"/>
      <c r="E22" s="38">
        <v>1</v>
      </c>
      <c r="F22" s="39">
        <v>1</v>
      </c>
      <c r="G22" s="40">
        <f t="shared" si="0"/>
        <v>0</v>
      </c>
    </row>
    <row r="23" spans="1:7" ht="16.2" customHeight="1" x14ac:dyDescent="0.3">
      <c r="A23" s="34" t="s">
        <v>138</v>
      </c>
      <c r="B23" s="35" t="s">
        <v>139</v>
      </c>
      <c r="C23" s="36" t="s">
        <v>10</v>
      </c>
      <c r="D23" s="37"/>
      <c r="E23" s="38">
        <v>1</v>
      </c>
      <c r="F23" s="39">
        <v>1</v>
      </c>
      <c r="G23" s="40">
        <f t="shared" si="0"/>
        <v>0</v>
      </c>
    </row>
    <row r="24" spans="1:7" ht="16.2" customHeight="1" x14ac:dyDescent="0.3">
      <c r="A24" s="41" t="s">
        <v>49</v>
      </c>
      <c r="B24" s="42" t="s">
        <v>140</v>
      </c>
      <c r="C24" s="36" t="s">
        <v>10</v>
      </c>
      <c r="D24" s="37"/>
      <c r="E24" s="38">
        <v>1</v>
      </c>
      <c r="F24" s="39">
        <v>1</v>
      </c>
      <c r="G24" s="40">
        <f t="shared" si="0"/>
        <v>0</v>
      </c>
    </row>
    <row r="25" spans="1:7" ht="16.2" customHeight="1" x14ac:dyDescent="0.3">
      <c r="A25" s="34" t="s">
        <v>51</v>
      </c>
      <c r="B25" s="35" t="s">
        <v>141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2" customHeight="1" x14ac:dyDescent="0.3">
      <c r="A26" s="41" t="s">
        <v>53</v>
      </c>
      <c r="B26" s="42" t="s">
        <v>142</v>
      </c>
      <c r="C26" s="36" t="s">
        <v>10</v>
      </c>
      <c r="D26" s="37"/>
      <c r="E26" s="38">
        <v>2</v>
      </c>
      <c r="F26" s="39">
        <v>2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2" topLeftCell="A3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143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144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145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146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147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148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149</v>
      </c>
      <c r="B10" s="66" t="s">
        <v>150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95</v>
      </c>
      <c r="B11" s="59" t="s">
        <v>151</v>
      </c>
      <c r="C11" s="60"/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152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153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154</v>
      </c>
      <c r="B14" s="66" t="s">
        <v>155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156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37</v>
      </c>
      <c r="B16" s="66" t="s">
        <v>157</v>
      </c>
      <c r="C16" s="60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158</v>
      </c>
      <c r="C17" s="60" t="s">
        <v>10</v>
      </c>
      <c r="D17" s="61"/>
      <c r="E17" s="62">
        <v>2</v>
      </c>
      <c r="F17" s="63">
        <v>2</v>
      </c>
      <c r="G17" s="64">
        <f t="shared" si="0"/>
        <v>0</v>
      </c>
    </row>
    <row r="18" spans="1:7" ht="16.2" customHeight="1" x14ac:dyDescent="0.3">
      <c r="A18" s="65" t="s">
        <v>159</v>
      </c>
      <c r="B18" s="66" t="s">
        <v>160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161</v>
      </c>
      <c r="B19" s="59" t="s">
        <v>162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163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45</v>
      </c>
      <c r="B21" s="59" t="s">
        <v>164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165</v>
      </c>
      <c r="B22" s="66" t="s">
        <v>166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47</v>
      </c>
      <c r="B23" s="59" t="s">
        <v>167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49</v>
      </c>
      <c r="B24" s="66" t="s">
        <v>168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51</v>
      </c>
      <c r="B25" s="73" t="s">
        <v>890</v>
      </c>
      <c r="C25" s="74" t="s">
        <v>10</v>
      </c>
      <c r="D25" s="72"/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169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4"/>
  <sheetViews>
    <sheetView workbookViewId="0">
      <pane ySplit="2" topLeftCell="A3" activePane="bottomLeft" state="frozen"/>
      <selection pane="bottomLeft" activeCell="F14" sqref="F1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5" t="s">
        <v>62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2" customHeight="1" x14ac:dyDescent="0.3">
      <c r="A4" s="65" t="s">
        <v>11</v>
      </c>
      <c r="B4" s="66" t="s">
        <v>170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2" customHeight="1" x14ac:dyDescent="0.3">
      <c r="A5" s="58" t="s">
        <v>13</v>
      </c>
      <c r="B5" s="59" t="s">
        <v>171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172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173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117</v>
      </c>
      <c r="B8" s="66" t="s">
        <v>174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119</v>
      </c>
      <c r="B9" s="59" t="s">
        <v>175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176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177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29</v>
      </c>
      <c r="B12" s="66" t="s">
        <v>178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179</v>
      </c>
      <c r="C13" s="60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2" customHeight="1" x14ac:dyDescent="0.3">
      <c r="A14" s="65" t="s">
        <v>33</v>
      </c>
      <c r="B14" s="66" t="s">
        <v>180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181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182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41</v>
      </c>
      <c r="B17" s="59" t="s">
        <v>183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43</v>
      </c>
      <c r="B18" s="66" t="s">
        <v>184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45</v>
      </c>
      <c r="B19" s="59" t="s">
        <v>185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47</v>
      </c>
      <c r="B20" s="66" t="s">
        <v>186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49</v>
      </c>
      <c r="B21" s="59" t="s">
        <v>187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188</v>
      </c>
      <c r="B22" s="66" t="s">
        <v>189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51</v>
      </c>
      <c r="B23" s="59" t="s">
        <v>190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53</v>
      </c>
      <c r="B24" s="66" t="s">
        <v>191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5"/>
  <sheetViews>
    <sheetView workbookViewId="0">
      <pane ySplit="2" topLeftCell="A3" activePane="bottomLeft" state="frozen"/>
      <selection pane="bottomLeft" activeCell="F19" sqref="F1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0" t="s">
        <v>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12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14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16</v>
      </c>
      <c r="C6" s="60"/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17</v>
      </c>
      <c r="B7" s="59" t="s">
        <v>18</v>
      </c>
      <c r="C7" s="74" t="s">
        <v>10</v>
      </c>
      <c r="D7" s="72"/>
      <c r="E7" s="62"/>
      <c r="F7" s="63"/>
      <c r="G7" s="64">
        <f t="shared" si="0"/>
        <v>0</v>
      </c>
    </row>
    <row r="8" spans="1:7" ht="16.2" customHeight="1" x14ac:dyDescent="0.3">
      <c r="A8" s="65" t="s">
        <v>19</v>
      </c>
      <c r="B8" s="66" t="s">
        <v>20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21</v>
      </c>
      <c r="B9" s="59" t="s">
        <v>22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23</v>
      </c>
      <c r="B10" s="66" t="s">
        <v>24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25</v>
      </c>
      <c r="B11" s="59" t="s">
        <v>26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27</v>
      </c>
      <c r="B12" s="66" t="s">
        <v>28</v>
      </c>
      <c r="C12" s="60" t="s">
        <v>10</v>
      </c>
      <c r="D12" s="61"/>
      <c r="E12" s="62">
        <v>3</v>
      </c>
      <c r="F12" s="63">
        <v>3</v>
      </c>
      <c r="G12" s="64">
        <f t="shared" si="0"/>
        <v>0</v>
      </c>
    </row>
    <row r="13" spans="1:7" ht="16.2" customHeight="1" x14ac:dyDescent="0.3">
      <c r="A13" s="58" t="s">
        <v>29</v>
      </c>
      <c r="B13" s="59" t="s">
        <v>30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31</v>
      </c>
      <c r="B14" s="66" t="s">
        <v>32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34</v>
      </c>
      <c r="C15" s="60"/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35</v>
      </c>
      <c r="B16" s="66" t="s">
        <v>36</v>
      </c>
      <c r="C16" s="60"/>
      <c r="D16" s="72" t="s">
        <v>10</v>
      </c>
      <c r="E16" s="62"/>
      <c r="F16" s="63"/>
      <c r="G16" s="64">
        <f t="shared" si="0"/>
        <v>0</v>
      </c>
    </row>
    <row r="17" spans="1:7" ht="16.2" customHeight="1" x14ac:dyDescent="0.3">
      <c r="A17" s="58" t="s">
        <v>37</v>
      </c>
      <c r="B17" s="59" t="s">
        <v>38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39</v>
      </c>
      <c r="B18" s="66" t="s">
        <v>40</v>
      </c>
      <c r="C18" s="60"/>
      <c r="D18" s="61" t="s">
        <v>10</v>
      </c>
      <c r="E18" s="62"/>
      <c r="F18" s="63"/>
      <c r="G18" s="64">
        <f t="shared" si="0"/>
        <v>0</v>
      </c>
    </row>
    <row r="19" spans="1:7" ht="16.2" customHeight="1" x14ac:dyDescent="0.3">
      <c r="A19" s="58" t="s">
        <v>41</v>
      </c>
      <c r="B19" s="59" t="s">
        <v>42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44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45</v>
      </c>
      <c r="B21" s="59" t="s">
        <v>46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48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50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52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54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"/>
  <sheetViews>
    <sheetView workbookViewId="0">
      <pane ySplit="2" topLeftCell="A3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1" t="s">
        <v>63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192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193</v>
      </c>
      <c r="C5" s="74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194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195</v>
      </c>
      <c r="C7" s="74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196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197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27</v>
      </c>
      <c r="B10" s="66" t="s">
        <v>198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123</v>
      </c>
      <c r="B11" s="59" t="s">
        <v>199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125</v>
      </c>
      <c r="B12" s="66" t="s">
        <v>200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201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202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37</v>
      </c>
      <c r="B15" s="59" t="s">
        <v>203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204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41</v>
      </c>
      <c r="B17" s="59" t="s">
        <v>205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206</v>
      </c>
      <c r="B18" s="66" t="s">
        <v>207</v>
      </c>
      <c r="C18" s="60"/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208</v>
      </c>
      <c r="C19" s="60"/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209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47</v>
      </c>
      <c r="B21" s="59" t="s">
        <v>210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106</v>
      </c>
      <c r="B22" s="66" t="s">
        <v>211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107</v>
      </c>
      <c r="B23" s="59" t="s">
        <v>212</v>
      </c>
      <c r="C23" s="60"/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213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2" customHeight="1" x14ac:dyDescent="0.3">
      <c r="A25" s="58" t="s">
        <v>214</v>
      </c>
      <c r="B25" s="59" t="s">
        <v>215</v>
      </c>
      <c r="C25" s="60"/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216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5"/>
  <sheetViews>
    <sheetView workbookViewId="0">
      <pane ySplit="2" topLeftCell="A3" activePane="bottomLeft" state="frozen"/>
      <selection pane="bottomLeft" activeCell="D24" sqref="D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64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217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218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219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220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221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222</v>
      </c>
      <c r="C9" s="60" t="s">
        <v>10</v>
      </c>
      <c r="D9" s="61"/>
      <c r="E9" s="62">
        <v>2</v>
      </c>
      <c r="F9" s="63">
        <v>2</v>
      </c>
      <c r="G9" s="64">
        <f t="shared" si="0"/>
        <v>0</v>
      </c>
    </row>
    <row r="10" spans="1:7" ht="16.2" customHeight="1" x14ac:dyDescent="0.3">
      <c r="A10" s="65" t="s">
        <v>27</v>
      </c>
      <c r="B10" s="66" t="s">
        <v>223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224</v>
      </c>
      <c r="B11" s="59" t="s">
        <v>225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123</v>
      </c>
      <c r="B12" s="66" t="s">
        <v>226</v>
      </c>
      <c r="C12" s="74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125</v>
      </c>
      <c r="B13" s="59" t="s">
        <v>227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31</v>
      </c>
      <c r="B14" s="66" t="s">
        <v>228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229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37</v>
      </c>
      <c r="B16" s="66" t="s">
        <v>230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39</v>
      </c>
      <c r="B17" s="59" t="s">
        <v>231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41</v>
      </c>
      <c r="B18" s="66" t="s">
        <v>232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206</v>
      </c>
      <c r="B19" s="59" t="s">
        <v>233</v>
      </c>
      <c r="C19" s="60"/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43</v>
      </c>
      <c r="B20" s="66" t="s">
        <v>234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235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236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237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238</v>
      </c>
      <c r="C24" s="74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239</v>
      </c>
      <c r="C25" s="60" t="s">
        <v>10</v>
      </c>
      <c r="D25" s="61"/>
      <c r="E25" s="62">
        <v>3</v>
      </c>
      <c r="F25" s="63">
        <v>3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65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5" si="0">MAX(0,IF(E3="",0,E3)-IF(F3="",0,F3))</f>
        <v>0</v>
      </c>
    </row>
    <row r="4" spans="1:7" ht="16.2" customHeight="1" x14ac:dyDescent="0.3">
      <c r="A4" s="52" t="s">
        <v>11</v>
      </c>
      <c r="B4" s="53" t="s">
        <v>240</v>
      </c>
      <c r="C4" s="43"/>
      <c r="D4" s="44"/>
      <c r="E4" s="45"/>
      <c r="F4" s="46"/>
      <c r="G4" s="40">
        <f t="shared" si="0"/>
        <v>0</v>
      </c>
    </row>
    <row r="5" spans="1:7" ht="16.2" customHeight="1" x14ac:dyDescent="0.3">
      <c r="A5" s="34" t="s">
        <v>241</v>
      </c>
      <c r="B5" s="50" t="s">
        <v>242</v>
      </c>
      <c r="C5" s="43" t="s">
        <v>10</v>
      </c>
      <c r="D5" s="47"/>
      <c r="E5" s="45"/>
      <c r="F5" s="46"/>
      <c r="G5" s="40">
        <f t="shared" si="0"/>
        <v>0</v>
      </c>
    </row>
    <row r="6" spans="1:7" ht="16.2" customHeight="1" x14ac:dyDescent="0.3">
      <c r="A6" s="41" t="s">
        <v>13</v>
      </c>
      <c r="B6" s="42" t="s">
        <v>243</v>
      </c>
      <c r="C6" s="54" t="s">
        <v>10</v>
      </c>
      <c r="D6" s="48"/>
      <c r="E6" s="55">
        <v>1</v>
      </c>
      <c r="F6" s="56">
        <v>1</v>
      </c>
      <c r="G6" s="40">
        <f t="shared" si="0"/>
        <v>0</v>
      </c>
    </row>
    <row r="7" spans="1:7" ht="16.2" customHeight="1" x14ac:dyDescent="0.3">
      <c r="A7" s="34" t="s">
        <v>15</v>
      </c>
      <c r="B7" s="50" t="s">
        <v>244</v>
      </c>
      <c r="C7" s="43"/>
      <c r="D7" s="47" t="s">
        <v>10</v>
      </c>
      <c r="E7" s="45"/>
      <c r="F7" s="46"/>
      <c r="G7" s="40">
        <f t="shared" si="0"/>
        <v>0</v>
      </c>
    </row>
    <row r="8" spans="1:7" ht="16.2" customHeight="1" x14ac:dyDescent="0.3">
      <c r="A8" s="41" t="s">
        <v>90</v>
      </c>
      <c r="B8" s="51" t="s">
        <v>245</v>
      </c>
      <c r="C8" s="43"/>
      <c r="D8" s="47"/>
      <c r="E8" s="45"/>
      <c r="F8" s="46"/>
      <c r="G8" s="40">
        <f t="shared" si="0"/>
        <v>0</v>
      </c>
    </row>
    <row r="9" spans="1:7" ht="16.2" customHeight="1" x14ac:dyDescent="0.3">
      <c r="A9" s="34" t="s">
        <v>23</v>
      </c>
      <c r="B9" s="35" t="s">
        <v>246</v>
      </c>
      <c r="C9" s="43" t="s">
        <v>10</v>
      </c>
      <c r="D9" s="47"/>
      <c r="E9" s="45"/>
      <c r="F9" s="46"/>
      <c r="G9" s="40">
        <f t="shared" si="0"/>
        <v>0</v>
      </c>
    </row>
    <row r="10" spans="1:7" ht="16.2" customHeight="1" x14ac:dyDescent="0.3">
      <c r="A10" s="41" t="s">
        <v>25</v>
      </c>
      <c r="B10" s="42" t="s">
        <v>247</v>
      </c>
      <c r="C10" s="43" t="s">
        <v>10</v>
      </c>
      <c r="D10" s="47"/>
      <c r="E10" s="45"/>
      <c r="F10" s="46"/>
      <c r="G10" s="40">
        <f t="shared" si="0"/>
        <v>0</v>
      </c>
    </row>
    <row r="11" spans="1:7" ht="16.2" customHeight="1" x14ac:dyDescent="0.3">
      <c r="A11" s="34" t="s">
        <v>27</v>
      </c>
      <c r="B11" s="50" t="s">
        <v>248</v>
      </c>
      <c r="C11" s="43"/>
      <c r="D11" s="47"/>
      <c r="E11" s="45"/>
      <c r="F11" s="46"/>
      <c r="G11" s="40">
        <f t="shared" si="0"/>
        <v>0</v>
      </c>
    </row>
    <row r="12" spans="1:7" ht="16.2" customHeight="1" x14ac:dyDescent="0.3">
      <c r="A12" s="41" t="s">
        <v>123</v>
      </c>
      <c r="B12" s="51" t="s">
        <v>249</v>
      </c>
      <c r="C12" s="43"/>
      <c r="D12" s="47"/>
      <c r="E12" s="45">
        <v>2</v>
      </c>
      <c r="F12" s="46">
        <v>2</v>
      </c>
      <c r="G12" s="40">
        <f t="shared" si="0"/>
        <v>0</v>
      </c>
    </row>
    <row r="13" spans="1:7" ht="16.2" customHeight="1" x14ac:dyDescent="0.3">
      <c r="A13" s="34" t="s">
        <v>125</v>
      </c>
      <c r="B13" s="35" t="s">
        <v>250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2" customHeight="1" x14ac:dyDescent="0.3">
      <c r="A14" s="41" t="s">
        <v>31</v>
      </c>
      <c r="B14" s="42" t="s">
        <v>251</v>
      </c>
      <c r="C14" s="43" t="s">
        <v>10</v>
      </c>
      <c r="D14" s="47"/>
      <c r="E14" s="45">
        <v>2</v>
      </c>
      <c r="F14" s="46">
        <v>2</v>
      </c>
      <c r="G14" s="40">
        <f t="shared" si="0"/>
        <v>0</v>
      </c>
    </row>
    <row r="15" spans="1:7" ht="16.2" customHeight="1" x14ac:dyDescent="0.3">
      <c r="A15" s="34" t="s">
        <v>33</v>
      </c>
      <c r="B15" s="35" t="s">
        <v>252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2" customHeight="1" x14ac:dyDescent="0.3">
      <c r="A16" s="41" t="s">
        <v>37</v>
      </c>
      <c r="B16" s="42" t="s">
        <v>253</v>
      </c>
      <c r="C16" s="43" t="s">
        <v>10</v>
      </c>
      <c r="D16" s="47"/>
      <c r="E16" s="45"/>
      <c r="F16" s="46"/>
      <c r="G16" s="40">
        <f t="shared" si="0"/>
        <v>0</v>
      </c>
    </row>
    <row r="17" spans="1:7" ht="16.2" customHeight="1" x14ac:dyDescent="0.3">
      <c r="A17" s="34" t="s">
        <v>254</v>
      </c>
      <c r="B17" s="35" t="s">
        <v>255</v>
      </c>
      <c r="C17" s="43" t="s">
        <v>10</v>
      </c>
      <c r="D17" s="47"/>
      <c r="E17" s="45">
        <v>1</v>
      </c>
      <c r="F17" s="46">
        <v>1</v>
      </c>
      <c r="G17" s="40">
        <f t="shared" si="0"/>
        <v>0</v>
      </c>
    </row>
    <row r="18" spans="1:7" ht="16.2" customHeight="1" x14ac:dyDescent="0.3">
      <c r="A18" s="41" t="s">
        <v>256</v>
      </c>
      <c r="B18" s="51" t="s">
        <v>257</v>
      </c>
      <c r="C18" s="43"/>
      <c r="D18" s="47"/>
      <c r="E18" s="45"/>
      <c r="F18" s="46"/>
      <c r="G18" s="40">
        <f t="shared" si="0"/>
        <v>0</v>
      </c>
    </row>
    <row r="19" spans="1:7" ht="16.2" customHeight="1" x14ac:dyDescent="0.3">
      <c r="A19" s="34" t="s">
        <v>41</v>
      </c>
      <c r="B19" s="35" t="s">
        <v>258</v>
      </c>
      <c r="C19" s="43" t="s">
        <v>10</v>
      </c>
      <c r="D19" s="44"/>
      <c r="E19" s="45">
        <v>2</v>
      </c>
      <c r="F19" s="46">
        <v>2</v>
      </c>
      <c r="G19" s="40">
        <f t="shared" si="0"/>
        <v>0</v>
      </c>
    </row>
    <row r="20" spans="1:7" ht="16.2" customHeight="1" x14ac:dyDescent="0.3">
      <c r="A20" s="41" t="s">
        <v>43</v>
      </c>
      <c r="B20" s="42" t="s">
        <v>259</v>
      </c>
      <c r="C20" s="43" t="s">
        <v>10</v>
      </c>
      <c r="D20" s="47"/>
      <c r="E20" s="45">
        <v>1</v>
      </c>
      <c r="F20" s="46">
        <v>1</v>
      </c>
      <c r="G20" s="40">
        <f t="shared" si="0"/>
        <v>0</v>
      </c>
    </row>
    <row r="21" spans="1:7" ht="16.2" customHeight="1" x14ac:dyDescent="0.3">
      <c r="A21" s="34" t="s">
        <v>45</v>
      </c>
      <c r="B21" s="35" t="s">
        <v>260</v>
      </c>
      <c r="C21" s="54" t="s">
        <v>10</v>
      </c>
      <c r="D21" s="48"/>
      <c r="E21" s="55">
        <v>4</v>
      </c>
      <c r="F21" s="56">
        <v>3</v>
      </c>
      <c r="G21" s="40">
        <f t="shared" si="0"/>
        <v>1</v>
      </c>
    </row>
    <row r="22" spans="1:7" ht="16.2" customHeight="1" x14ac:dyDescent="0.3">
      <c r="A22" s="41" t="s">
        <v>47</v>
      </c>
      <c r="B22" s="51" t="s">
        <v>261</v>
      </c>
      <c r="C22" s="43" t="s">
        <v>10</v>
      </c>
      <c r="D22" s="44"/>
      <c r="E22" s="45"/>
      <c r="F22" s="46"/>
      <c r="G22" s="40">
        <f t="shared" si="0"/>
        <v>0</v>
      </c>
    </row>
    <row r="23" spans="1:7" ht="16.2" customHeight="1" x14ac:dyDescent="0.3">
      <c r="A23" s="34" t="s">
        <v>49</v>
      </c>
      <c r="B23" s="35" t="s">
        <v>262</v>
      </c>
      <c r="C23" s="43" t="s">
        <v>10</v>
      </c>
      <c r="D23" s="47"/>
      <c r="E23" s="45"/>
      <c r="F23" s="46"/>
      <c r="G23" s="40">
        <f t="shared" si="0"/>
        <v>0</v>
      </c>
    </row>
    <row r="24" spans="1:7" ht="16.2" customHeight="1" x14ac:dyDescent="0.3">
      <c r="A24" s="41" t="s">
        <v>51</v>
      </c>
      <c r="B24" s="42" t="s">
        <v>263</v>
      </c>
      <c r="C24" s="43" t="s">
        <v>10</v>
      </c>
      <c r="D24" s="47"/>
      <c r="E24" s="45">
        <v>1</v>
      </c>
      <c r="F24" s="46">
        <v>1</v>
      </c>
      <c r="G24" s="40">
        <f t="shared" si="0"/>
        <v>0</v>
      </c>
    </row>
    <row r="25" spans="1:7" ht="16.2" customHeight="1" x14ac:dyDescent="0.3">
      <c r="A25" s="34" t="s">
        <v>53</v>
      </c>
      <c r="B25" s="35" t="s">
        <v>264</v>
      </c>
      <c r="C25" s="36" t="s">
        <v>10</v>
      </c>
      <c r="D25" s="37"/>
      <c r="E25" s="38"/>
      <c r="F25" s="39"/>
      <c r="G25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pane ySplit="2" topLeftCell="A3" activePane="bottomLeft" state="frozen"/>
      <selection pane="bottomLeft" activeCell="F24" sqref="F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66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265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266</v>
      </c>
      <c r="C5" s="60" t="s">
        <v>10</v>
      </c>
      <c r="D5" s="61"/>
      <c r="E5" s="62">
        <v>2</v>
      </c>
      <c r="F5" s="63">
        <v>2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267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268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269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271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272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273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274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275</v>
      </c>
      <c r="B13" s="59" t="s">
        <v>276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31</v>
      </c>
      <c r="B14" s="66" t="s">
        <v>277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33</v>
      </c>
      <c r="B15" s="59" t="s">
        <v>278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37</v>
      </c>
      <c r="B16" s="66" t="s">
        <v>279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280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281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282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283</v>
      </c>
      <c r="B20" s="66" t="s">
        <v>284</v>
      </c>
      <c r="C20" s="60"/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285</v>
      </c>
      <c r="C21" s="60" t="s">
        <v>10</v>
      </c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286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287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288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2" customHeight="1" x14ac:dyDescent="0.3">
      <c r="A25" s="58" t="s">
        <v>53</v>
      </c>
      <c r="B25" s="59" t="s">
        <v>289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4" t="s">
        <v>67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3" si="0">MAX(0,IF(E3="",0,E3)-IF(F3="",0,F3))</f>
        <v>0</v>
      </c>
    </row>
    <row r="4" spans="1:7" ht="16.2" customHeight="1" x14ac:dyDescent="0.3">
      <c r="A4" s="65" t="s">
        <v>11</v>
      </c>
      <c r="B4" s="66" t="s">
        <v>290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291</v>
      </c>
      <c r="C5" s="74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292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293</v>
      </c>
      <c r="C7" s="60" t="s">
        <v>10</v>
      </c>
      <c r="D7" s="61"/>
      <c r="E7" s="62">
        <v>3</v>
      </c>
      <c r="F7" s="63">
        <v>3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294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25</v>
      </c>
      <c r="B9" s="59" t="s">
        <v>295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27</v>
      </c>
      <c r="B10" s="66" t="s">
        <v>296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29</v>
      </c>
      <c r="B11" s="59" t="s">
        <v>297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2" customHeight="1" x14ac:dyDescent="0.3">
      <c r="A12" s="65" t="s">
        <v>31</v>
      </c>
      <c r="B12" s="66" t="s">
        <v>298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33</v>
      </c>
      <c r="B13" s="59" t="s">
        <v>299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37</v>
      </c>
      <c r="B14" s="66" t="s">
        <v>300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39</v>
      </c>
      <c r="B15" s="59" t="s">
        <v>301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2" customHeight="1" x14ac:dyDescent="0.3">
      <c r="A16" s="65" t="s">
        <v>41</v>
      </c>
      <c r="B16" s="66" t="s">
        <v>302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43</v>
      </c>
      <c r="B17" s="59" t="s">
        <v>303</v>
      </c>
      <c r="C17" s="60"/>
      <c r="D17" s="61" t="s">
        <v>10</v>
      </c>
      <c r="E17" s="62"/>
      <c r="F17" s="63"/>
      <c r="G17" s="64">
        <f t="shared" si="0"/>
        <v>0</v>
      </c>
    </row>
    <row r="18" spans="1:7" ht="16.2" customHeight="1" x14ac:dyDescent="0.3">
      <c r="A18" s="65" t="s">
        <v>45</v>
      </c>
      <c r="B18" s="66" t="s">
        <v>304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47</v>
      </c>
      <c r="B19" s="59" t="s">
        <v>305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49</v>
      </c>
      <c r="B20" s="66" t="s">
        <v>306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51</v>
      </c>
      <c r="B21" s="59" t="s">
        <v>307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214</v>
      </c>
      <c r="B22" s="66" t="s">
        <v>308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53</v>
      </c>
      <c r="B23" s="59" t="s">
        <v>309</v>
      </c>
      <c r="C23" s="60" t="s">
        <v>10</v>
      </c>
      <c r="D23" s="61"/>
      <c r="E23" s="62"/>
      <c r="F23" s="63"/>
      <c r="G23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6"/>
  <sheetViews>
    <sheetView workbookViewId="0">
      <pane ySplit="2" topLeftCell="A4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5" t="s">
        <v>68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310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311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312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313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314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315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316</v>
      </c>
      <c r="C10" s="74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317</v>
      </c>
      <c r="C11" s="74" t="s">
        <v>10</v>
      </c>
      <c r="D11" s="72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318</v>
      </c>
      <c r="C12" s="60" t="s">
        <v>10</v>
      </c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319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33</v>
      </c>
      <c r="B14" s="66" t="s">
        <v>320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321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322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159</v>
      </c>
      <c r="B17" s="59" t="s">
        <v>323</v>
      </c>
      <c r="C17" s="60"/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161</v>
      </c>
      <c r="B18" s="66" t="s">
        <v>324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325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326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165</v>
      </c>
      <c r="B21" s="59" t="s">
        <v>327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328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329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330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53</v>
      </c>
      <c r="B25" s="59" t="s">
        <v>331</v>
      </c>
      <c r="C25" s="60"/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111</v>
      </c>
      <c r="B26" s="66" t="s">
        <v>332</v>
      </c>
      <c r="C26" s="74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7"/>
  <sheetViews>
    <sheetView workbookViewId="0">
      <pane ySplit="2" topLeftCell="A3" activePane="bottomLeft" state="frozen"/>
      <selection pane="bottomLeft" activeCell="F21" sqref="F2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6" t="s">
        <v>69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7" si="0">MAX(0,IF(E3="",0,E3)-IF(F3="",0,F3))</f>
        <v>0</v>
      </c>
    </row>
    <row r="4" spans="1:7" ht="16.2" customHeight="1" x14ac:dyDescent="0.3">
      <c r="A4" s="65" t="s">
        <v>11</v>
      </c>
      <c r="B4" s="66" t="s">
        <v>333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334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335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336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337</v>
      </c>
      <c r="C8" s="60" t="s">
        <v>10</v>
      </c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25</v>
      </c>
      <c r="B9" s="59" t="s">
        <v>338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339</v>
      </c>
      <c r="B10" s="66" t="s">
        <v>340</v>
      </c>
      <c r="C10" s="60"/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341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342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343</v>
      </c>
      <c r="B13" s="59" t="s">
        <v>344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345</v>
      </c>
      <c r="B14" s="66" t="s">
        <v>346</v>
      </c>
      <c r="C14" s="60"/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33</v>
      </c>
      <c r="B15" s="59" t="s">
        <v>347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37</v>
      </c>
      <c r="B16" s="66" t="s">
        <v>348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349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350</v>
      </c>
      <c r="C18" s="74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2" customHeight="1" x14ac:dyDescent="0.3">
      <c r="A19" s="58" t="s">
        <v>351</v>
      </c>
      <c r="B19" s="59" t="s">
        <v>352</v>
      </c>
      <c r="C19" s="60" t="s">
        <v>10</v>
      </c>
      <c r="D19" s="61"/>
      <c r="E19" s="62">
        <v>1</v>
      </c>
      <c r="F19" s="63">
        <v>1</v>
      </c>
      <c r="G19" s="64">
        <f t="shared" si="0"/>
        <v>0</v>
      </c>
    </row>
    <row r="20" spans="1:7" ht="16.2" customHeight="1" x14ac:dyDescent="0.3">
      <c r="A20" s="65" t="s">
        <v>353</v>
      </c>
      <c r="B20" s="66" t="s">
        <v>354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355</v>
      </c>
      <c r="B21" s="59" t="s">
        <v>356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357</v>
      </c>
      <c r="B22" s="66" t="s">
        <v>358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47</v>
      </c>
      <c r="B23" s="59" t="s">
        <v>359</v>
      </c>
      <c r="C23" s="60"/>
      <c r="D23" s="61"/>
      <c r="E23" s="62">
        <v>2</v>
      </c>
      <c r="F23" s="63">
        <v>2</v>
      </c>
      <c r="G23" s="64">
        <f t="shared" si="0"/>
        <v>0</v>
      </c>
    </row>
    <row r="24" spans="1:7" ht="16.2" customHeight="1" x14ac:dyDescent="0.3">
      <c r="A24" s="65" t="s">
        <v>360</v>
      </c>
      <c r="B24" s="66" t="s">
        <v>361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2" customHeight="1" x14ac:dyDescent="0.3">
      <c r="A25" s="58" t="s">
        <v>49</v>
      </c>
      <c r="B25" s="59" t="s">
        <v>362</v>
      </c>
      <c r="C25" s="60" t="s">
        <v>10</v>
      </c>
      <c r="D25" s="61"/>
      <c r="E25" s="62">
        <v>2</v>
      </c>
      <c r="F25" s="63">
        <v>2</v>
      </c>
      <c r="G25" s="64">
        <f t="shared" si="0"/>
        <v>0</v>
      </c>
    </row>
    <row r="26" spans="1:7" ht="16.2" customHeight="1" x14ac:dyDescent="0.3">
      <c r="A26" s="65" t="s">
        <v>51</v>
      </c>
      <c r="B26" s="66" t="s">
        <v>363</v>
      </c>
      <c r="C26" s="60" t="s">
        <v>10</v>
      </c>
      <c r="D26" s="61"/>
      <c r="E26" s="62">
        <v>2</v>
      </c>
      <c r="F26" s="63">
        <v>2</v>
      </c>
      <c r="G26" s="64">
        <f t="shared" si="0"/>
        <v>0</v>
      </c>
    </row>
    <row r="27" spans="1:7" ht="16.2" customHeight="1" x14ac:dyDescent="0.3">
      <c r="A27" s="58" t="s">
        <v>53</v>
      </c>
      <c r="B27" s="59" t="s">
        <v>364</v>
      </c>
      <c r="C27" s="60" t="s">
        <v>10</v>
      </c>
      <c r="D27" s="61"/>
      <c r="E27" s="62">
        <v>2</v>
      </c>
      <c r="F27" s="63">
        <v>2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4"/>
  <sheetViews>
    <sheetView workbookViewId="0">
      <pane ySplit="2" topLeftCell="A3" activePane="bottomLeft" state="frozen"/>
      <selection pane="bottomLeft" activeCell="F22" sqref="F22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70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2" customHeight="1" x14ac:dyDescent="0.3">
      <c r="A4" s="65" t="s">
        <v>11</v>
      </c>
      <c r="B4" s="66" t="s">
        <v>365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366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367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368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370</v>
      </c>
      <c r="C9" s="60"/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371</v>
      </c>
      <c r="C10" s="74" t="s">
        <v>10</v>
      </c>
      <c r="D10" s="61"/>
      <c r="E10" s="62">
        <v>3</v>
      </c>
      <c r="F10" s="63">
        <v>3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372</v>
      </c>
      <c r="C11" s="60" t="s">
        <v>10</v>
      </c>
      <c r="D11" s="61"/>
      <c r="E11" s="62">
        <v>3</v>
      </c>
      <c r="F11" s="63">
        <v>3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373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374</v>
      </c>
      <c r="C13" s="74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375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37</v>
      </c>
      <c r="B15" s="59" t="s">
        <v>376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254</v>
      </c>
      <c r="B16" s="66" t="s">
        <v>377</v>
      </c>
      <c r="C16" s="74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2" customHeight="1" x14ac:dyDescent="0.3">
      <c r="A17" s="58" t="s">
        <v>256</v>
      </c>
      <c r="B17" s="59" t="s">
        <v>378</v>
      </c>
      <c r="C17" s="60"/>
      <c r="D17" s="61"/>
      <c r="E17" s="62">
        <v>2</v>
      </c>
      <c r="F17" s="63">
        <v>2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379</v>
      </c>
      <c r="C18" s="60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2" customHeight="1" x14ac:dyDescent="0.3">
      <c r="A19" s="58" t="s">
        <v>43</v>
      </c>
      <c r="B19" s="59" t="s">
        <v>380</v>
      </c>
      <c r="C19" s="74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381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47</v>
      </c>
      <c r="B21" s="59" t="s">
        <v>382</v>
      </c>
      <c r="C21" s="60" t="s">
        <v>10</v>
      </c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49</v>
      </c>
      <c r="B22" s="66" t="s">
        <v>383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51</v>
      </c>
      <c r="B23" s="59" t="s">
        <v>384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53</v>
      </c>
      <c r="B24" s="66" t="s">
        <v>385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tabSelected="1"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71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3</v>
      </c>
      <c r="F3" s="63">
        <v>3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386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2" customHeight="1" x14ac:dyDescent="0.3">
      <c r="A5" s="58" t="s">
        <v>13</v>
      </c>
      <c r="B5" s="59" t="s">
        <v>387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388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19</v>
      </c>
      <c r="B7" s="59" t="s">
        <v>389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21</v>
      </c>
      <c r="B8" s="66" t="s">
        <v>390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23</v>
      </c>
      <c r="B9" s="59" t="s">
        <v>391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392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393</v>
      </c>
      <c r="C11" s="60" t="s">
        <v>10</v>
      </c>
      <c r="D11" s="61"/>
      <c r="E11" s="62">
        <v>3</v>
      </c>
      <c r="F11" s="63">
        <v>3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394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395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396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397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254</v>
      </c>
      <c r="B16" s="66" t="s">
        <v>398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256</v>
      </c>
      <c r="B17" s="59" t="s">
        <v>399</v>
      </c>
      <c r="C17" s="60"/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41</v>
      </c>
      <c r="B18" s="66" t="s">
        <v>400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401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402</v>
      </c>
      <c r="C20" s="60"/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165</v>
      </c>
      <c r="B21" s="59" t="s">
        <v>403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404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405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406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53</v>
      </c>
      <c r="B25" s="59" t="s">
        <v>407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3" activePane="bottomLeft" state="frozen"/>
      <selection pane="bottomLeft" activeCell="E16" sqref="E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72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7" si="0">MAX(0,IF(E3="",0,E3)-IF(F3="",0,F3))</f>
        <v>0</v>
      </c>
    </row>
    <row r="4" spans="1:7" ht="16.2" customHeight="1" x14ac:dyDescent="0.3">
      <c r="A4" s="65" t="s">
        <v>11</v>
      </c>
      <c r="B4" s="66" t="s">
        <v>408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409</v>
      </c>
      <c r="C5" s="60"/>
      <c r="D5" s="61" t="s">
        <v>10</v>
      </c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410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411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412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270</v>
      </c>
      <c r="B9" s="59" t="s">
        <v>413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414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415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224</v>
      </c>
      <c r="B12" s="66" t="s">
        <v>416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123</v>
      </c>
      <c r="B13" s="59" t="s">
        <v>417</v>
      </c>
      <c r="C13" s="74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2" customHeight="1" x14ac:dyDescent="0.3">
      <c r="A14" s="65" t="s">
        <v>125</v>
      </c>
      <c r="B14" s="66" t="s">
        <v>418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2" customHeight="1" x14ac:dyDescent="0.3">
      <c r="A15" s="58" t="s">
        <v>31</v>
      </c>
      <c r="B15" s="59" t="s">
        <v>419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33</v>
      </c>
      <c r="B16" s="66" t="s">
        <v>420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37</v>
      </c>
      <c r="B17" s="59" t="s">
        <v>421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39</v>
      </c>
      <c r="B18" s="66" t="s">
        <v>422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131</v>
      </c>
      <c r="B19" s="59" t="s">
        <v>423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41</v>
      </c>
      <c r="B20" s="66" t="s">
        <v>424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43</v>
      </c>
      <c r="B21" s="59" t="s">
        <v>425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283</v>
      </c>
      <c r="B22" s="66" t="s">
        <v>426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45</v>
      </c>
      <c r="B23" s="59" t="s">
        <v>427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47</v>
      </c>
      <c r="B24" s="66" t="s">
        <v>428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49</v>
      </c>
      <c r="B25" s="59" t="s">
        <v>429</v>
      </c>
      <c r="C25" s="60" t="s">
        <v>10</v>
      </c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51</v>
      </c>
      <c r="B26" s="66" t="s">
        <v>430</v>
      </c>
      <c r="C26" s="60" t="s">
        <v>10</v>
      </c>
      <c r="D26" s="61"/>
      <c r="E26" s="62"/>
      <c r="F26" s="63"/>
      <c r="G26" s="64">
        <f t="shared" si="0"/>
        <v>0</v>
      </c>
    </row>
    <row r="27" spans="1:7" ht="16.2" customHeight="1" x14ac:dyDescent="0.3">
      <c r="A27" s="58" t="s">
        <v>53</v>
      </c>
      <c r="B27" s="59" t="s">
        <v>431</v>
      </c>
      <c r="C27" s="60" t="s">
        <v>10</v>
      </c>
      <c r="D27" s="61"/>
      <c r="E27" s="62">
        <v>1</v>
      </c>
      <c r="F27" s="63">
        <v>1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5"/>
  <sheetViews>
    <sheetView workbookViewId="0">
      <pane ySplit="2" topLeftCell="A3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7" t="s">
        <v>73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432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433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434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435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436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437</v>
      </c>
      <c r="C9" s="60"/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339</v>
      </c>
      <c r="B10" s="66" t="s">
        <v>438</v>
      </c>
      <c r="C10" s="60"/>
      <c r="D10" s="72" t="s">
        <v>10</v>
      </c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439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440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441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154</v>
      </c>
      <c r="B14" s="66" t="s">
        <v>442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443</v>
      </c>
      <c r="B15" s="59" t="s">
        <v>444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445</v>
      </c>
      <c r="B16" s="66" t="s">
        <v>446</v>
      </c>
      <c r="C16" s="60"/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37</v>
      </c>
      <c r="B17" s="59" t="s">
        <v>447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39</v>
      </c>
      <c r="B18" s="66" t="s">
        <v>448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41</v>
      </c>
      <c r="B19" s="59" t="s">
        <v>449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43</v>
      </c>
      <c r="B20" s="66" t="s">
        <v>450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451</v>
      </c>
      <c r="C21" s="74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452</v>
      </c>
      <c r="C22" s="74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453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454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455</v>
      </c>
      <c r="C25" s="60" t="s">
        <v>10</v>
      </c>
      <c r="D25" s="61"/>
      <c r="E25" s="62">
        <v>1</v>
      </c>
      <c r="F25" s="63">
        <v>1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3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74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3" si="0">MAX(0,IF(E3="",0,E3)-IF(F3="",0,F3))</f>
        <v>0</v>
      </c>
    </row>
    <row r="4" spans="1:7" ht="16.2" customHeight="1" x14ac:dyDescent="0.3">
      <c r="A4" s="41" t="s">
        <v>11</v>
      </c>
      <c r="B4" s="42" t="s">
        <v>456</v>
      </c>
      <c r="C4" s="43" t="s">
        <v>10</v>
      </c>
      <c r="D4" s="47"/>
      <c r="E4" s="45"/>
      <c r="F4" s="46"/>
      <c r="G4" s="40">
        <f t="shared" si="0"/>
        <v>0</v>
      </c>
    </row>
    <row r="5" spans="1:7" ht="16.2" customHeight="1" x14ac:dyDescent="0.3">
      <c r="A5" s="34" t="s">
        <v>13</v>
      </c>
      <c r="B5" s="35" t="s">
        <v>457</v>
      </c>
      <c r="C5" s="43" t="s">
        <v>10</v>
      </c>
      <c r="D5" s="44"/>
      <c r="E5" s="45"/>
      <c r="F5" s="46"/>
      <c r="G5" s="40">
        <f t="shared" si="0"/>
        <v>0</v>
      </c>
    </row>
    <row r="6" spans="1:7" ht="16.2" customHeight="1" x14ac:dyDescent="0.3">
      <c r="A6" s="41" t="s">
        <v>15</v>
      </c>
      <c r="B6" s="42" t="s">
        <v>458</v>
      </c>
      <c r="C6" s="43" t="s">
        <v>10</v>
      </c>
      <c r="D6" s="47"/>
      <c r="E6" s="45">
        <v>2</v>
      </c>
      <c r="F6" s="46">
        <v>2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459</v>
      </c>
      <c r="C7" s="43" t="s">
        <v>10</v>
      </c>
      <c r="D7" s="47"/>
      <c r="E7" s="45">
        <v>1</v>
      </c>
      <c r="F7" s="46">
        <v>1</v>
      </c>
      <c r="G7" s="40">
        <f t="shared" si="0"/>
        <v>0</v>
      </c>
    </row>
    <row r="8" spans="1:7" ht="16.2" customHeight="1" x14ac:dyDescent="0.3">
      <c r="A8" s="41" t="s">
        <v>23</v>
      </c>
      <c r="B8" s="42" t="s">
        <v>460</v>
      </c>
      <c r="C8" s="43" t="s">
        <v>10</v>
      </c>
      <c r="D8" s="44"/>
      <c r="E8" s="45"/>
      <c r="F8" s="46"/>
      <c r="G8" s="40">
        <f t="shared" si="0"/>
        <v>0</v>
      </c>
    </row>
    <row r="9" spans="1:7" ht="16.2" customHeight="1" x14ac:dyDescent="0.3">
      <c r="A9" s="34" t="s">
        <v>25</v>
      </c>
      <c r="B9" s="35" t="s">
        <v>461</v>
      </c>
      <c r="C9" s="43" t="s">
        <v>10</v>
      </c>
      <c r="D9" s="47"/>
      <c r="E9" s="45"/>
      <c r="F9" s="46"/>
      <c r="G9" s="40">
        <f t="shared" si="0"/>
        <v>0</v>
      </c>
    </row>
    <row r="10" spans="1:7" ht="16.2" customHeight="1" x14ac:dyDescent="0.3">
      <c r="A10" s="41" t="s">
        <v>27</v>
      </c>
      <c r="B10" s="42" t="s">
        <v>462</v>
      </c>
      <c r="C10" s="43" t="s">
        <v>10</v>
      </c>
      <c r="D10" s="44"/>
      <c r="E10" s="45"/>
      <c r="F10" s="46"/>
      <c r="G10" s="40">
        <f t="shared" si="0"/>
        <v>0</v>
      </c>
    </row>
    <row r="11" spans="1:7" ht="16.2" customHeight="1" x14ac:dyDescent="0.3">
      <c r="A11" s="34" t="s">
        <v>29</v>
      </c>
      <c r="B11" s="35" t="s">
        <v>463</v>
      </c>
      <c r="C11" s="43" t="s">
        <v>10</v>
      </c>
      <c r="D11" s="47"/>
      <c r="E11" s="45"/>
      <c r="F11" s="46"/>
      <c r="G11" s="40">
        <f t="shared" si="0"/>
        <v>0</v>
      </c>
    </row>
    <row r="12" spans="1:7" ht="16.2" customHeight="1" x14ac:dyDescent="0.3">
      <c r="A12" s="41" t="s">
        <v>31</v>
      </c>
      <c r="B12" s="42" t="s">
        <v>464</v>
      </c>
      <c r="C12" s="43" t="s">
        <v>10</v>
      </c>
      <c r="D12" s="47"/>
      <c r="E12" s="45"/>
      <c r="F12" s="46"/>
      <c r="G12" s="40">
        <f t="shared" si="0"/>
        <v>0</v>
      </c>
    </row>
    <row r="13" spans="1:7" ht="16.2" customHeight="1" x14ac:dyDescent="0.3">
      <c r="A13" s="34" t="s">
        <v>33</v>
      </c>
      <c r="B13" s="35" t="s">
        <v>465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2" customHeight="1" x14ac:dyDescent="0.3">
      <c r="A14" s="41" t="s">
        <v>37</v>
      </c>
      <c r="B14" s="42" t="s">
        <v>466</v>
      </c>
      <c r="C14" s="43" t="s">
        <v>10</v>
      </c>
      <c r="D14" s="44"/>
      <c r="E14" s="45"/>
      <c r="F14" s="46"/>
      <c r="G14" s="40">
        <f t="shared" si="0"/>
        <v>0</v>
      </c>
    </row>
    <row r="15" spans="1:7" ht="16.2" customHeight="1" x14ac:dyDescent="0.3">
      <c r="A15" s="34" t="s">
        <v>254</v>
      </c>
      <c r="B15" s="35" t="s">
        <v>467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2" customHeight="1" x14ac:dyDescent="0.3">
      <c r="A16" s="52" t="s">
        <v>256</v>
      </c>
      <c r="B16" s="53" t="s">
        <v>468</v>
      </c>
      <c r="C16" s="67"/>
      <c r="D16" s="68"/>
      <c r="E16" s="69"/>
      <c r="F16" s="70"/>
      <c r="G16" s="40">
        <f t="shared" si="0"/>
        <v>0</v>
      </c>
    </row>
    <row r="17" spans="1:7" ht="16.2" customHeight="1" x14ac:dyDescent="0.3">
      <c r="A17" s="34" t="s">
        <v>41</v>
      </c>
      <c r="B17" s="35" t="s">
        <v>469</v>
      </c>
      <c r="C17" s="43" t="s">
        <v>10</v>
      </c>
      <c r="D17" s="47"/>
      <c r="E17" s="45"/>
      <c r="F17" s="46"/>
      <c r="G17" s="40">
        <f t="shared" si="0"/>
        <v>0</v>
      </c>
    </row>
    <row r="18" spans="1:7" ht="16.2" customHeight="1" x14ac:dyDescent="0.3">
      <c r="A18" s="41" t="s">
        <v>43</v>
      </c>
      <c r="B18" s="42" t="s">
        <v>470</v>
      </c>
      <c r="C18" s="43" t="s">
        <v>10</v>
      </c>
      <c r="D18" s="47"/>
      <c r="E18" s="45">
        <v>1</v>
      </c>
      <c r="F18" s="46">
        <v>1</v>
      </c>
      <c r="G18" s="40">
        <f t="shared" si="0"/>
        <v>0</v>
      </c>
    </row>
    <row r="19" spans="1:7" ht="16.2" customHeight="1" x14ac:dyDescent="0.3">
      <c r="A19" s="34" t="s">
        <v>45</v>
      </c>
      <c r="B19" s="35" t="s">
        <v>471</v>
      </c>
      <c r="C19" s="43" t="s">
        <v>10</v>
      </c>
      <c r="D19" s="47"/>
      <c r="E19" s="45">
        <v>1</v>
      </c>
      <c r="F19" s="46">
        <v>1</v>
      </c>
      <c r="G19" s="40">
        <f t="shared" si="0"/>
        <v>0</v>
      </c>
    </row>
    <row r="20" spans="1:7" ht="16.2" customHeight="1" x14ac:dyDescent="0.3">
      <c r="A20" s="41" t="s">
        <v>47</v>
      </c>
      <c r="B20" s="42" t="s">
        <v>472</v>
      </c>
      <c r="C20" s="43" t="s">
        <v>10</v>
      </c>
      <c r="D20" s="44"/>
      <c r="E20" s="45"/>
      <c r="F20" s="46"/>
      <c r="G20" s="40">
        <f t="shared" si="0"/>
        <v>0</v>
      </c>
    </row>
    <row r="21" spans="1:7" ht="16.2" customHeight="1" x14ac:dyDescent="0.3">
      <c r="A21" s="34" t="s">
        <v>49</v>
      </c>
      <c r="B21" s="35" t="s">
        <v>473</v>
      </c>
      <c r="C21" s="43" t="s">
        <v>10</v>
      </c>
      <c r="D21" s="47"/>
      <c r="E21" s="45"/>
      <c r="F21" s="46"/>
      <c r="G21" s="40">
        <f t="shared" si="0"/>
        <v>0</v>
      </c>
    </row>
    <row r="22" spans="1:7" ht="16.2" customHeight="1" x14ac:dyDescent="0.3">
      <c r="A22" s="41" t="s">
        <v>51</v>
      </c>
      <c r="B22" s="42" t="s">
        <v>474</v>
      </c>
      <c r="C22" s="43" t="s">
        <v>10</v>
      </c>
      <c r="D22" s="47"/>
      <c r="E22" s="45"/>
      <c r="F22" s="46"/>
      <c r="G22" s="40">
        <f t="shared" si="0"/>
        <v>0</v>
      </c>
    </row>
    <row r="23" spans="1:7" ht="16.2" customHeight="1" x14ac:dyDescent="0.3">
      <c r="A23" s="34" t="s">
        <v>53</v>
      </c>
      <c r="B23" s="35" t="s">
        <v>475</v>
      </c>
      <c r="C23" s="43" t="s">
        <v>10</v>
      </c>
      <c r="D23" s="44"/>
      <c r="E23" s="45"/>
      <c r="F23" s="46"/>
      <c r="G23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6"/>
  <sheetViews>
    <sheetView workbookViewId="0">
      <pane ySplit="2" topLeftCell="A6" activePane="bottomLeft" state="frozen"/>
      <selection pane="bottomLeft" activeCell="D20" sqref="D2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8" t="s">
        <v>75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476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477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478</v>
      </c>
      <c r="C6" s="60"/>
      <c r="D6" s="61" t="s">
        <v>10</v>
      </c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479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480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481</v>
      </c>
      <c r="C9" s="74" t="s">
        <v>10</v>
      </c>
      <c r="D9" s="72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482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483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224</v>
      </c>
      <c r="B12" s="66" t="s">
        <v>484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123</v>
      </c>
      <c r="B13" s="59" t="s">
        <v>485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125</v>
      </c>
      <c r="B14" s="66" t="s">
        <v>486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31</v>
      </c>
      <c r="B15" s="59" t="s">
        <v>487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33</v>
      </c>
      <c r="B16" s="66" t="s">
        <v>488</v>
      </c>
      <c r="C16" s="60"/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37</v>
      </c>
      <c r="B17" s="59" t="s">
        <v>489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39</v>
      </c>
      <c r="B18" s="66" t="s">
        <v>490</v>
      </c>
      <c r="C18" s="74" t="s">
        <v>10</v>
      </c>
      <c r="D18" s="61"/>
      <c r="E18" s="71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41</v>
      </c>
      <c r="B19" s="59" t="s">
        <v>491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492</v>
      </c>
      <c r="C20" s="74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493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494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495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496</v>
      </c>
      <c r="C24" s="60"/>
      <c r="D24" s="61"/>
      <c r="E24" s="62">
        <v>3</v>
      </c>
      <c r="F24" s="63">
        <v>3</v>
      </c>
      <c r="G24" s="64">
        <f t="shared" si="0"/>
        <v>0</v>
      </c>
    </row>
    <row r="25" spans="1:7" ht="16.2" customHeight="1" x14ac:dyDescent="0.3">
      <c r="A25" s="58" t="s">
        <v>214</v>
      </c>
      <c r="B25" s="59" t="s">
        <v>497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498</v>
      </c>
      <c r="C26" s="60" t="s">
        <v>10</v>
      </c>
      <c r="D26" s="61"/>
      <c r="E26" s="62">
        <v>3</v>
      </c>
      <c r="F26" s="63">
        <v>3</v>
      </c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3" activePane="bottomLeft" state="frozen"/>
      <selection pane="bottomLeft" activeCell="D18" sqref="D18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9" t="s">
        <v>76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499</v>
      </c>
      <c r="C4" s="36" t="s">
        <v>10</v>
      </c>
      <c r="D4" s="37"/>
      <c r="E4" s="38"/>
      <c r="F4" s="39"/>
      <c r="G4" s="40">
        <f t="shared" si="0"/>
        <v>0</v>
      </c>
    </row>
    <row r="5" spans="1:7" ht="16.2" customHeight="1" x14ac:dyDescent="0.3">
      <c r="A5" s="34" t="s">
        <v>13</v>
      </c>
      <c r="B5" s="35" t="s">
        <v>500</v>
      </c>
      <c r="C5" s="36" t="s">
        <v>10</v>
      </c>
      <c r="D5" s="37"/>
      <c r="E5" s="38"/>
      <c r="F5" s="39"/>
      <c r="G5" s="40">
        <f t="shared" si="0"/>
        <v>0</v>
      </c>
    </row>
    <row r="6" spans="1:7" ht="16.2" customHeight="1" x14ac:dyDescent="0.3">
      <c r="A6" s="41" t="s">
        <v>15</v>
      </c>
      <c r="B6" s="42" t="s">
        <v>501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502</v>
      </c>
      <c r="C7" s="36" t="s">
        <v>10</v>
      </c>
      <c r="D7" s="37"/>
      <c r="E7" s="38">
        <v>1</v>
      </c>
      <c r="F7" s="39">
        <v>1</v>
      </c>
      <c r="G7" s="40">
        <f t="shared" si="0"/>
        <v>0</v>
      </c>
    </row>
    <row r="8" spans="1:7" ht="16.2" customHeight="1" x14ac:dyDescent="0.3">
      <c r="A8" s="41" t="s">
        <v>23</v>
      </c>
      <c r="B8" s="42" t="s">
        <v>503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2" customHeight="1" x14ac:dyDescent="0.3">
      <c r="A9" s="34" t="s">
        <v>25</v>
      </c>
      <c r="B9" s="35" t="s">
        <v>504</v>
      </c>
      <c r="C9" s="36" t="s">
        <v>10</v>
      </c>
      <c r="D9" s="37"/>
      <c r="E9" s="38"/>
      <c r="F9" s="39"/>
      <c r="G9" s="40">
        <f t="shared" si="0"/>
        <v>0</v>
      </c>
    </row>
    <row r="10" spans="1:7" ht="16.2" customHeight="1" x14ac:dyDescent="0.3">
      <c r="A10" s="41" t="s">
        <v>149</v>
      </c>
      <c r="B10" s="51" t="s">
        <v>505</v>
      </c>
      <c r="C10" s="36"/>
      <c r="D10" s="37"/>
      <c r="E10" s="38">
        <v>1</v>
      </c>
      <c r="F10" s="39">
        <v>1</v>
      </c>
      <c r="G10" s="40">
        <f t="shared" si="0"/>
        <v>0</v>
      </c>
    </row>
    <row r="11" spans="1:7" ht="16.2" customHeight="1" x14ac:dyDescent="0.3">
      <c r="A11" s="34" t="s">
        <v>95</v>
      </c>
      <c r="B11" s="35" t="s">
        <v>506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2" customHeight="1" x14ac:dyDescent="0.3">
      <c r="A12" s="41" t="s">
        <v>29</v>
      </c>
      <c r="B12" s="42" t="s">
        <v>507</v>
      </c>
      <c r="C12" s="36" t="s">
        <v>10</v>
      </c>
      <c r="D12" s="37"/>
      <c r="E12" s="38">
        <v>1</v>
      </c>
      <c r="F12" s="39">
        <v>1</v>
      </c>
      <c r="G12" s="40">
        <f t="shared" si="0"/>
        <v>0</v>
      </c>
    </row>
    <row r="13" spans="1:7" ht="16.2" customHeight="1" x14ac:dyDescent="0.3">
      <c r="A13" s="34" t="s">
        <v>31</v>
      </c>
      <c r="B13" s="35" t="s">
        <v>508</v>
      </c>
      <c r="C13" s="36" t="s">
        <v>10</v>
      </c>
      <c r="D13" s="37"/>
      <c r="E13" s="38"/>
      <c r="F13" s="39"/>
      <c r="G13" s="40">
        <f t="shared" si="0"/>
        <v>0</v>
      </c>
    </row>
    <row r="14" spans="1:7" ht="16.2" customHeight="1" x14ac:dyDescent="0.3">
      <c r="A14" s="41" t="s">
        <v>33</v>
      </c>
      <c r="B14" s="42" t="s">
        <v>509</v>
      </c>
      <c r="C14" s="36" t="s">
        <v>10</v>
      </c>
      <c r="D14" s="37"/>
      <c r="E14" s="38"/>
      <c r="F14" s="39"/>
      <c r="G14" s="40">
        <f t="shared" si="0"/>
        <v>0</v>
      </c>
    </row>
    <row r="15" spans="1:7" ht="16.2" customHeight="1" x14ac:dyDescent="0.3">
      <c r="A15" s="34" t="s">
        <v>37</v>
      </c>
      <c r="B15" s="35" t="s">
        <v>510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2" customHeight="1" x14ac:dyDescent="0.3">
      <c r="A16" s="41" t="s">
        <v>39</v>
      </c>
      <c r="B16" s="42" t="s">
        <v>511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2" customHeight="1" x14ac:dyDescent="0.3">
      <c r="A17" s="34" t="s">
        <v>41</v>
      </c>
      <c r="B17" s="35" t="s">
        <v>512</v>
      </c>
      <c r="C17" s="36" t="s">
        <v>10</v>
      </c>
      <c r="D17" s="37"/>
      <c r="E17" s="38">
        <v>2</v>
      </c>
      <c r="F17" s="39">
        <v>2</v>
      </c>
      <c r="G17" s="40">
        <f t="shared" si="0"/>
        <v>0</v>
      </c>
    </row>
    <row r="18" spans="1:7" ht="16.2" customHeight="1" x14ac:dyDescent="0.3">
      <c r="A18" s="41" t="s">
        <v>43</v>
      </c>
      <c r="B18" s="42" t="s">
        <v>513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2" customHeight="1" x14ac:dyDescent="0.3">
      <c r="A19" s="34" t="s">
        <v>45</v>
      </c>
      <c r="B19" s="50" t="s">
        <v>514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2" customHeight="1" x14ac:dyDescent="0.3">
      <c r="A20" s="52" t="s">
        <v>165</v>
      </c>
      <c r="B20" s="53" t="s">
        <v>515</v>
      </c>
      <c r="C20" s="36"/>
      <c r="D20" s="37" t="s">
        <v>10</v>
      </c>
      <c r="E20" s="38"/>
      <c r="F20" s="39"/>
      <c r="G20" s="40">
        <f t="shared" si="0"/>
        <v>0</v>
      </c>
    </row>
    <row r="21" spans="1:7" ht="16.2" customHeight="1" x14ac:dyDescent="0.3">
      <c r="A21" s="34" t="s">
        <v>47</v>
      </c>
      <c r="B21" s="35" t="s">
        <v>516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2" customHeight="1" x14ac:dyDescent="0.3">
      <c r="A22" s="41" t="s">
        <v>49</v>
      </c>
      <c r="B22" s="42" t="s">
        <v>517</v>
      </c>
      <c r="C22" s="36" t="s">
        <v>10</v>
      </c>
      <c r="D22" s="37"/>
      <c r="E22" s="38"/>
      <c r="F22" s="39"/>
      <c r="G22" s="40">
        <f t="shared" si="0"/>
        <v>0</v>
      </c>
    </row>
    <row r="23" spans="1:7" ht="16.2" customHeight="1" x14ac:dyDescent="0.3">
      <c r="A23" s="34" t="s">
        <v>51</v>
      </c>
      <c r="B23" s="50" t="s">
        <v>518</v>
      </c>
      <c r="C23" s="36"/>
      <c r="D23" s="37"/>
      <c r="E23" s="38"/>
      <c r="F23" s="39"/>
      <c r="G23" s="40">
        <f t="shared" si="0"/>
        <v>0</v>
      </c>
    </row>
    <row r="24" spans="1:7" ht="16.2" customHeight="1" x14ac:dyDescent="0.3">
      <c r="A24" s="52" t="s">
        <v>214</v>
      </c>
      <c r="B24" s="53" t="s">
        <v>519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2" customHeight="1" x14ac:dyDescent="0.3">
      <c r="A25" s="34" t="s">
        <v>520</v>
      </c>
      <c r="B25" s="35" t="s">
        <v>521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2" customHeight="1" x14ac:dyDescent="0.3">
      <c r="A26" s="41" t="s">
        <v>522</v>
      </c>
      <c r="B26" s="42" t="s">
        <v>523</v>
      </c>
      <c r="C26" s="36"/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6"/>
  <sheetViews>
    <sheetView workbookViewId="0">
      <pane ySplit="2" topLeftCell="A6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0" t="s">
        <v>77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>
        <v>2</v>
      </c>
      <c r="F3" s="39">
        <v>2</v>
      </c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524</v>
      </c>
      <c r="C4" s="36" t="s">
        <v>10</v>
      </c>
      <c r="D4" s="37"/>
      <c r="E4" s="38">
        <v>1</v>
      </c>
      <c r="F4" s="39">
        <v>1</v>
      </c>
      <c r="G4" s="40">
        <f t="shared" si="0"/>
        <v>0</v>
      </c>
    </row>
    <row r="5" spans="1:7" ht="16.2" customHeight="1" x14ac:dyDescent="0.3">
      <c r="A5" s="34" t="s">
        <v>13</v>
      </c>
      <c r="B5" s="35" t="s">
        <v>525</v>
      </c>
      <c r="C5" s="36" t="s">
        <v>10</v>
      </c>
      <c r="D5" s="37"/>
      <c r="E5" s="38">
        <v>1</v>
      </c>
      <c r="F5" s="39">
        <v>1</v>
      </c>
      <c r="G5" s="40">
        <f t="shared" si="0"/>
        <v>0</v>
      </c>
    </row>
    <row r="6" spans="1:7" ht="16.2" customHeight="1" x14ac:dyDescent="0.3">
      <c r="A6" s="41" t="s">
        <v>15</v>
      </c>
      <c r="B6" s="51" t="s">
        <v>526</v>
      </c>
      <c r="C6" s="36"/>
      <c r="D6" s="37"/>
      <c r="E6" s="38"/>
      <c r="F6" s="39"/>
      <c r="G6" s="40">
        <f t="shared" si="0"/>
        <v>0</v>
      </c>
    </row>
    <row r="7" spans="1:7" ht="16.2" customHeight="1" x14ac:dyDescent="0.3">
      <c r="A7" s="34" t="s">
        <v>17</v>
      </c>
      <c r="B7" s="35" t="s">
        <v>527</v>
      </c>
      <c r="C7" s="36" t="s">
        <v>10</v>
      </c>
      <c r="D7" s="37"/>
      <c r="E7" s="38"/>
      <c r="F7" s="39"/>
      <c r="G7" s="40">
        <f t="shared" si="0"/>
        <v>0</v>
      </c>
    </row>
    <row r="8" spans="1:7" ht="16.2" customHeight="1" x14ac:dyDescent="0.3">
      <c r="A8" s="41" t="s">
        <v>90</v>
      </c>
      <c r="B8" s="42" t="s">
        <v>528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2" customHeight="1" x14ac:dyDescent="0.3">
      <c r="A9" s="34" t="s">
        <v>117</v>
      </c>
      <c r="B9" s="35" t="s">
        <v>529</v>
      </c>
      <c r="C9" s="36"/>
      <c r="D9" s="37"/>
      <c r="E9" s="38">
        <v>2</v>
      </c>
      <c r="F9" s="39">
        <v>2</v>
      </c>
      <c r="G9" s="40">
        <f t="shared" si="0"/>
        <v>0</v>
      </c>
    </row>
    <row r="10" spans="1:7" ht="16.2" customHeight="1" x14ac:dyDescent="0.3">
      <c r="A10" s="41" t="s">
        <v>119</v>
      </c>
      <c r="B10" s="42" t="s">
        <v>530</v>
      </c>
      <c r="C10" s="36" t="s">
        <v>10</v>
      </c>
      <c r="D10" s="37"/>
      <c r="E10" s="38"/>
      <c r="F10" s="39"/>
      <c r="G10" s="40">
        <f t="shared" si="0"/>
        <v>0</v>
      </c>
    </row>
    <row r="11" spans="1:7" ht="16.2" customHeight="1" x14ac:dyDescent="0.3">
      <c r="A11" s="34" t="s">
        <v>531</v>
      </c>
      <c r="B11" s="35" t="s">
        <v>532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2" customHeight="1" x14ac:dyDescent="0.3">
      <c r="A12" s="41" t="s">
        <v>533</v>
      </c>
      <c r="B12" s="42" t="s">
        <v>534</v>
      </c>
      <c r="C12" s="36"/>
      <c r="D12" s="37"/>
      <c r="E12" s="38">
        <v>1</v>
      </c>
      <c r="F12" s="39">
        <v>1</v>
      </c>
      <c r="G12" s="40">
        <f t="shared" si="0"/>
        <v>0</v>
      </c>
    </row>
    <row r="13" spans="1:7" ht="16.2" customHeight="1" x14ac:dyDescent="0.3">
      <c r="A13" s="34" t="s">
        <v>149</v>
      </c>
      <c r="B13" s="35" t="s">
        <v>535</v>
      </c>
      <c r="C13" s="36"/>
      <c r="D13" s="37"/>
      <c r="E13" s="38">
        <v>2</v>
      </c>
      <c r="F13" s="39">
        <v>2</v>
      </c>
      <c r="G13" s="40">
        <f t="shared" si="0"/>
        <v>0</v>
      </c>
    </row>
    <row r="14" spans="1:7" ht="16.2" customHeight="1" x14ac:dyDescent="0.3">
      <c r="A14" s="41" t="s">
        <v>95</v>
      </c>
      <c r="B14" s="51" t="s">
        <v>536</v>
      </c>
      <c r="C14" s="36"/>
      <c r="D14" s="37"/>
      <c r="E14" s="38"/>
      <c r="F14" s="39"/>
      <c r="G14" s="40">
        <f t="shared" si="0"/>
        <v>0</v>
      </c>
    </row>
    <row r="15" spans="1:7" ht="16.2" customHeight="1" x14ac:dyDescent="0.3">
      <c r="A15" s="34" t="s">
        <v>29</v>
      </c>
      <c r="B15" s="35" t="s">
        <v>537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2" customHeight="1" x14ac:dyDescent="0.3">
      <c r="A16" s="41" t="s">
        <v>31</v>
      </c>
      <c r="B16" s="42" t="s">
        <v>538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2" customHeight="1" x14ac:dyDescent="0.3">
      <c r="A17" s="34" t="s">
        <v>33</v>
      </c>
      <c r="B17" s="35" t="s">
        <v>539</v>
      </c>
      <c r="C17" s="36" t="s">
        <v>10</v>
      </c>
      <c r="D17" s="37"/>
      <c r="E17" s="38"/>
      <c r="F17" s="39"/>
      <c r="G17" s="40">
        <f t="shared" si="0"/>
        <v>0</v>
      </c>
    </row>
    <row r="18" spans="1:7" ht="16.2" customHeight="1" x14ac:dyDescent="0.3">
      <c r="A18" s="41" t="s">
        <v>37</v>
      </c>
      <c r="B18" s="42" t="s">
        <v>540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2" customHeight="1" x14ac:dyDescent="0.3">
      <c r="A19" s="34" t="s">
        <v>39</v>
      </c>
      <c r="B19" s="35" t="s">
        <v>541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2" customHeight="1" x14ac:dyDescent="0.3">
      <c r="A20" s="41" t="s">
        <v>41</v>
      </c>
      <c r="B20" s="42" t="s">
        <v>542</v>
      </c>
      <c r="C20" s="36" t="s">
        <v>10</v>
      </c>
      <c r="D20" s="37"/>
      <c r="E20" s="38"/>
      <c r="F20" s="39"/>
      <c r="G20" s="40">
        <f t="shared" si="0"/>
        <v>0</v>
      </c>
    </row>
    <row r="21" spans="1:7" ht="16.2" customHeight="1" x14ac:dyDescent="0.3">
      <c r="A21" s="34" t="s">
        <v>43</v>
      </c>
      <c r="B21" s="35" t="s">
        <v>543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2" customHeight="1" x14ac:dyDescent="0.3">
      <c r="A22" s="41" t="s">
        <v>45</v>
      </c>
      <c r="B22" s="42" t="s">
        <v>544</v>
      </c>
      <c r="C22" s="36" t="s">
        <v>10</v>
      </c>
      <c r="D22" s="37"/>
      <c r="E22" s="38">
        <v>1</v>
      </c>
      <c r="F22" s="39">
        <v>1</v>
      </c>
      <c r="G22" s="40">
        <f t="shared" si="0"/>
        <v>0</v>
      </c>
    </row>
    <row r="23" spans="1:7" ht="16.2" customHeight="1" x14ac:dyDescent="0.3">
      <c r="A23" s="34" t="s">
        <v>47</v>
      </c>
      <c r="B23" s="35" t="s">
        <v>545</v>
      </c>
      <c r="C23" s="36" t="s">
        <v>10</v>
      </c>
      <c r="D23" s="37"/>
      <c r="E23" s="38"/>
      <c r="F23" s="39"/>
      <c r="G23" s="40">
        <f t="shared" si="0"/>
        <v>0</v>
      </c>
    </row>
    <row r="24" spans="1:7" ht="16.2" customHeight="1" x14ac:dyDescent="0.3">
      <c r="A24" s="41" t="s">
        <v>49</v>
      </c>
      <c r="B24" s="42" t="s">
        <v>546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2" customHeight="1" x14ac:dyDescent="0.3">
      <c r="A25" s="34" t="s">
        <v>51</v>
      </c>
      <c r="B25" s="35" t="s">
        <v>547</v>
      </c>
      <c r="C25" s="36" t="s">
        <v>10</v>
      </c>
      <c r="D25" s="37"/>
      <c r="E25" s="38"/>
      <c r="F25" s="39"/>
      <c r="G25" s="40">
        <f t="shared" si="0"/>
        <v>0</v>
      </c>
    </row>
    <row r="26" spans="1:7" ht="16.2" customHeight="1" x14ac:dyDescent="0.3">
      <c r="A26" s="41" t="s">
        <v>53</v>
      </c>
      <c r="B26" s="42" t="s">
        <v>548</v>
      </c>
      <c r="C26" s="36" t="s">
        <v>10</v>
      </c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2"/>
  <sheetViews>
    <sheetView workbookViewId="0">
      <pane ySplit="2" topLeftCell="A3" activePane="bottomLeft" state="frozen"/>
      <selection pane="bottomLeft" activeCell="C15" sqref="C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1" t="s">
        <v>549</v>
      </c>
      <c r="B1" s="76"/>
      <c r="C1" s="76"/>
      <c r="D1" s="76"/>
      <c r="E1" s="76"/>
      <c r="F1" s="76"/>
      <c r="G1" s="76"/>
    </row>
    <row r="2" spans="1:7" ht="18" customHeight="1" x14ac:dyDescent="0.3">
      <c r="A2" s="49" t="s">
        <v>1</v>
      </c>
      <c r="B2" s="49" t="s">
        <v>2</v>
      </c>
      <c r="C2" s="49" t="s">
        <v>3</v>
      </c>
      <c r="D2" s="49" t="s">
        <v>4</v>
      </c>
      <c r="E2" s="49" t="s">
        <v>5</v>
      </c>
      <c r="F2" s="49" t="s">
        <v>6</v>
      </c>
      <c r="G2" s="49" t="s">
        <v>7</v>
      </c>
    </row>
    <row r="3" spans="1:7" ht="16.2" customHeight="1" x14ac:dyDescent="0.3">
      <c r="A3" s="58" t="s">
        <v>550</v>
      </c>
      <c r="B3" s="59" t="s">
        <v>551</v>
      </c>
      <c r="C3" s="74" t="s">
        <v>10</v>
      </c>
      <c r="D3" s="61"/>
      <c r="E3" s="62"/>
      <c r="F3" s="63"/>
      <c r="G3" s="64">
        <f t="shared" ref="G3:G42" si="0">MAX(0,IF(E3="",0,E3)-IF(F3="",0,F3))</f>
        <v>0</v>
      </c>
    </row>
    <row r="4" spans="1:7" ht="16.2" customHeight="1" x14ac:dyDescent="0.3">
      <c r="A4" s="65" t="s">
        <v>552</v>
      </c>
      <c r="B4" s="66" t="s">
        <v>553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554</v>
      </c>
      <c r="B5" s="59" t="s">
        <v>555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556</v>
      </c>
      <c r="B6" s="66" t="s">
        <v>557</v>
      </c>
      <c r="C6" s="74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558</v>
      </c>
      <c r="B7" s="59" t="s">
        <v>559</v>
      </c>
      <c r="C7" s="74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560</v>
      </c>
      <c r="B8" s="66" t="s">
        <v>561</v>
      </c>
      <c r="C8" s="60"/>
      <c r="D8" s="61" t="s">
        <v>10</v>
      </c>
      <c r="E8" s="62"/>
      <c r="F8" s="63"/>
      <c r="G8" s="64">
        <f t="shared" si="0"/>
        <v>0</v>
      </c>
    </row>
    <row r="9" spans="1:7" ht="16.2" customHeight="1" x14ac:dyDescent="0.3">
      <c r="A9" s="58" t="s">
        <v>562</v>
      </c>
      <c r="B9" s="59" t="s">
        <v>563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564</v>
      </c>
      <c r="B10" s="66" t="s">
        <v>565</v>
      </c>
      <c r="C10" s="60"/>
      <c r="D10" s="61" t="s">
        <v>10</v>
      </c>
      <c r="E10" s="62"/>
      <c r="F10" s="63"/>
      <c r="G10" s="64">
        <f t="shared" si="0"/>
        <v>0</v>
      </c>
    </row>
    <row r="11" spans="1:7" ht="16.2" customHeight="1" x14ac:dyDescent="0.3">
      <c r="A11" s="58" t="s">
        <v>566</v>
      </c>
      <c r="B11" s="59" t="s">
        <v>567</v>
      </c>
      <c r="C11" s="74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568</v>
      </c>
      <c r="B12" s="66" t="s">
        <v>569</v>
      </c>
      <c r="C12" s="60"/>
      <c r="D12" s="61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570</v>
      </c>
      <c r="B13" s="59" t="s">
        <v>571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572</v>
      </c>
      <c r="B14" s="66" t="s">
        <v>573</v>
      </c>
      <c r="C14" s="60"/>
      <c r="D14" s="61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574</v>
      </c>
      <c r="B15" s="59" t="s">
        <v>575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576</v>
      </c>
      <c r="B16" s="66" t="s">
        <v>577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2" customHeight="1" x14ac:dyDescent="0.3">
      <c r="A17" s="58" t="s">
        <v>578</v>
      </c>
      <c r="B17" s="59" t="s">
        <v>579</v>
      </c>
      <c r="C17" s="74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580</v>
      </c>
      <c r="B18" s="66" t="s">
        <v>581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582</v>
      </c>
      <c r="B19" s="59" t="s">
        <v>583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584</v>
      </c>
      <c r="B20" s="66" t="s">
        <v>585</v>
      </c>
      <c r="C20" s="60"/>
      <c r="D20" s="61" t="s">
        <v>10</v>
      </c>
      <c r="E20" s="62"/>
      <c r="F20" s="63"/>
      <c r="G20" s="64">
        <f t="shared" si="0"/>
        <v>0</v>
      </c>
    </row>
    <row r="21" spans="1:7" ht="16.2" customHeight="1" x14ac:dyDescent="0.3">
      <c r="A21" s="58" t="s">
        <v>586</v>
      </c>
      <c r="B21" s="59" t="s">
        <v>587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588</v>
      </c>
      <c r="B22" s="66" t="s">
        <v>589</v>
      </c>
      <c r="C22" s="60"/>
      <c r="D22" s="61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590</v>
      </c>
      <c r="B23" s="59" t="s">
        <v>591</v>
      </c>
      <c r="C23" s="60"/>
      <c r="D23" s="72" t="s">
        <v>10</v>
      </c>
      <c r="E23" s="62"/>
      <c r="F23" s="63"/>
      <c r="G23" s="64">
        <f t="shared" si="0"/>
        <v>0</v>
      </c>
    </row>
    <row r="24" spans="1:7" ht="16.2" customHeight="1" x14ac:dyDescent="0.3">
      <c r="A24" s="65" t="s">
        <v>592</v>
      </c>
      <c r="B24" s="66" t="s">
        <v>593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2" customHeight="1" x14ac:dyDescent="0.3">
      <c r="A25" s="58" t="s">
        <v>594</v>
      </c>
      <c r="B25" s="59" t="s">
        <v>595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2" customHeight="1" x14ac:dyDescent="0.3">
      <c r="A26" s="65" t="s">
        <v>596</v>
      </c>
      <c r="B26" s="66" t="s">
        <v>597</v>
      </c>
      <c r="C26" s="60"/>
      <c r="D26" s="72" t="s">
        <v>10</v>
      </c>
      <c r="E26" s="62"/>
      <c r="F26" s="63"/>
      <c r="G26" s="64">
        <f t="shared" si="0"/>
        <v>0</v>
      </c>
    </row>
    <row r="27" spans="1:7" ht="16.2" customHeight="1" x14ac:dyDescent="0.3">
      <c r="A27" s="58" t="s">
        <v>598</v>
      </c>
      <c r="B27" s="59" t="s">
        <v>599</v>
      </c>
      <c r="C27" s="60"/>
      <c r="D27" s="72" t="s">
        <v>10</v>
      </c>
      <c r="E27" s="62"/>
      <c r="F27" s="63"/>
      <c r="G27" s="64">
        <f t="shared" si="0"/>
        <v>0</v>
      </c>
    </row>
    <row r="28" spans="1:7" ht="16.2" customHeight="1" x14ac:dyDescent="0.3">
      <c r="A28" s="65" t="s">
        <v>600</v>
      </c>
      <c r="B28" s="66" t="s">
        <v>601</v>
      </c>
      <c r="C28" s="60"/>
      <c r="D28" s="72" t="s">
        <v>10</v>
      </c>
      <c r="E28" s="62"/>
      <c r="F28" s="63"/>
      <c r="G28" s="64">
        <f t="shared" si="0"/>
        <v>0</v>
      </c>
    </row>
    <row r="29" spans="1:7" ht="16.2" customHeight="1" x14ac:dyDescent="0.3">
      <c r="A29" s="58" t="s">
        <v>602</v>
      </c>
      <c r="B29" s="59" t="s">
        <v>603</v>
      </c>
      <c r="C29" s="60"/>
      <c r="D29" s="72" t="s">
        <v>10</v>
      </c>
      <c r="E29" s="62"/>
      <c r="F29" s="63"/>
      <c r="G29" s="64">
        <f t="shared" si="0"/>
        <v>0</v>
      </c>
    </row>
    <row r="30" spans="1:7" ht="16.2" customHeight="1" x14ac:dyDescent="0.3">
      <c r="A30" s="65" t="s">
        <v>604</v>
      </c>
      <c r="B30" s="66" t="s">
        <v>605</v>
      </c>
      <c r="C30" s="60"/>
      <c r="D30" s="72" t="s">
        <v>10</v>
      </c>
      <c r="E30" s="62"/>
      <c r="F30" s="63"/>
      <c r="G30" s="64">
        <f t="shared" si="0"/>
        <v>0</v>
      </c>
    </row>
    <row r="31" spans="1:7" ht="16.2" customHeight="1" x14ac:dyDescent="0.3">
      <c r="A31" s="58" t="s">
        <v>606</v>
      </c>
      <c r="B31" s="59" t="s">
        <v>607</v>
      </c>
      <c r="C31" s="60"/>
      <c r="D31" s="72" t="s">
        <v>10</v>
      </c>
      <c r="E31" s="62"/>
      <c r="F31" s="63"/>
      <c r="G31" s="64">
        <f t="shared" si="0"/>
        <v>0</v>
      </c>
    </row>
    <row r="32" spans="1:7" ht="16.2" customHeight="1" x14ac:dyDescent="0.3">
      <c r="A32" s="65" t="s">
        <v>608</v>
      </c>
      <c r="B32" s="66" t="s">
        <v>609</v>
      </c>
      <c r="C32" s="60"/>
      <c r="D32" s="72" t="s">
        <v>10</v>
      </c>
      <c r="E32" s="62"/>
      <c r="F32" s="63"/>
      <c r="G32" s="64">
        <f t="shared" si="0"/>
        <v>0</v>
      </c>
    </row>
    <row r="33" spans="1:7" ht="16.2" customHeight="1" x14ac:dyDescent="0.3">
      <c r="A33" s="58" t="s">
        <v>610</v>
      </c>
      <c r="B33" s="59" t="s">
        <v>611</v>
      </c>
      <c r="C33" s="60"/>
      <c r="D33" s="72" t="s">
        <v>10</v>
      </c>
      <c r="E33" s="62"/>
      <c r="F33" s="63"/>
      <c r="G33" s="64">
        <f t="shared" si="0"/>
        <v>0</v>
      </c>
    </row>
    <row r="34" spans="1:7" ht="16.2" customHeight="1" x14ac:dyDescent="0.3">
      <c r="A34" s="65" t="s">
        <v>612</v>
      </c>
      <c r="B34" s="66" t="s">
        <v>613</v>
      </c>
      <c r="C34" s="60"/>
      <c r="D34" s="72" t="s">
        <v>10</v>
      </c>
      <c r="E34" s="62"/>
      <c r="F34" s="63"/>
      <c r="G34" s="64">
        <f t="shared" si="0"/>
        <v>0</v>
      </c>
    </row>
    <row r="35" spans="1:7" ht="16.2" customHeight="1" x14ac:dyDescent="0.3">
      <c r="A35" s="58" t="s">
        <v>614</v>
      </c>
      <c r="B35" s="59" t="s">
        <v>615</v>
      </c>
      <c r="C35" s="60"/>
      <c r="D35" s="72" t="s">
        <v>10</v>
      </c>
      <c r="E35" s="62"/>
      <c r="F35" s="63"/>
      <c r="G35" s="64">
        <f t="shared" si="0"/>
        <v>0</v>
      </c>
    </row>
    <row r="36" spans="1:7" ht="16.2" customHeight="1" x14ac:dyDescent="0.3">
      <c r="A36" s="65" t="s">
        <v>616</v>
      </c>
      <c r="B36" s="66" t="s">
        <v>617</v>
      </c>
      <c r="C36" s="60"/>
      <c r="D36" s="72" t="s">
        <v>10</v>
      </c>
      <c r="E36" s="62"/>
      <c r="F36" s="63"/>
      <c r="G36" s="64">
        <f t="shared" si="0"/>
        <v>0</v>
      </c>
    </row>
    <row r="37" spans="1:7" ht="16.2" customHeight="1" x14ac:dyDescent="0.3">
      <c r="A37" s="58" t="s">
        <v>618</v>
      </c>
      <c r="B37" s="59" t="s">
        <v>619</v>
      </c>
      <c r="C37" s="60"/>
      <c r="D37" s="72" t="s">
        <v>10</v>
      </c>
      <c r="E37" s="62"/>
      <c r="F37" s="63"/>
      <c r="G37" s="64">
        <f t="shared" si="0"/>
        <v>0</v>
      </c>
    </row>
    <row r="38" spans="1:7" ht="16.2" customHeight="1" x14ac:dyDescent="0.3">
      <c r="A38" s="65" t="s">
        <v>620</v>
      </c>
      <c r="B38" s="66" t="s">
        <v>621</v>
      </c>
      <c r="C38" s="60"/>
      <c r="D38" s="72" t="s">
        <v>10</v>
      </c>
      <c r="E38" s="62"/>
      <c r="F38" s="63"/>
      <c r="G38" s="64">
        <f t="shared" si="0"/>
        <v>0</v>
      </c>
    </row>
    <row r="39" spans="1:7" ht="16.2" customHeight="1" x14ac:dyDescent="0.3">
      <c r="A39" s="58" t="s">
        <v>622</v>
      </c>
      <c r="B39" s="59" t="s">
        <v>623</v>
      </c>
      <c r="C39" s="60"/>
      <c r="D39" s="72" t="s">
        <v>10</v>
      </c>
      <c r="E39" s="62"/>
      <c r="F39" s="63"/>
      <c r="G39" s="64">
        <f t="shared" si="0"/>
        <v>0</v>
      </c>
    </row>
    <row r="40" spans="1:7" ht="16.2" customHeight="1" x14ac:dyDescent="0.3">
      <c r="A40" s="65" t="s">
        <v>624</v>
      </c>
      <c r="B40" s="66" t="s">
        <v>625</v>
      </c>
      <c r="C40" s="60"/>
      <c r="D40" s="72" t="s">
        <v>10</v>
      </c>
      <c r="E40" s="62"/>
      <c r="F40" s="63"/>
      <c r="G40" s="64">
        <f t="shared" si="0"/>
        <v>0</v>
      </c>
    </row>
    <row r="41" spans="1:7" ht="16.2" customHeight="1" x14ac:dyDescent="0.3">
      <c r="A41" s="58" t="s">
        <v>626</v>
      </c>
      <c r="B41" s="59" t="s">
        <v>627</v>
      </c>
      <c r="C41" s="60"/>
      <c r="D41" s="72" t="s">
        <v>10</v>
      </c>
      <c r="E41" s="62"/>
      <c r="F41" s="63"/>
      <c r="G41" s="64">
        <f t="shared" si="0"/>
        <v>0</v>
      </c>
    </row>
    <row r="42" spans="1:7" ht="16.2" customHeight="1" x14ac:dyDescent="0.3">
      <c r="A42" s="65" t="s">
        <v>628</v>
      </c>
      <c r="B42" s="66" t="s">
        <v>629</v>
      </c>
      <c r="C42" s="60"/>
      <c r="D42" s="72" t="s">
        <v>10</v>
      </c>
      <c r="E42" s="62"/>
      <c r="F42" s="63"/>
      <c r="G42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7"/>
  <sheetViews>
    <sheetView workbookViewId="0">
      <pane ySplit="2" topLeftCell="A3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2" t="s">
        <v>78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630</v>
      </c>
      <c r="C3" s="20" t="s">
        <v>10</v>
      </c>
      <c r="D3" s="21"/>
      <c r="E3" s="22"/>
      <c r="F3" s="23"/>
      <c r="G3" s="24">
        <f t="shared" ref="G3:G17" si="0">MAX(0,IF(E3="",0,E3)-IF(F3="",0,F3))</f>
        <v>0</v>
      </c>
    </row>
    <row r="4" spans="1:7" ht="16.2" customHeight="1" x14ac:dyDescent="0.3">
      <c r="A4" s="25" t="s">
        <v>11</v>
      </c>
      <c r="B4" s="26" t="s">
        <v>631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13</v>
      </c>
      <c r="B5" s="19" t="s">
        <v>632</v>
      </c>
      <c r="C5" s="20" t="s">
        <v>10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15</v>
      </c>
      <c r="B6" s="26" t="s">
        <v>633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90</v>
      </c>
      <c r="B7" s="19" t="s">
        <v>634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23</v>
      </c>
      <c r="B8" s="26" t="s">
        <v>635</v>
      </c>
      <c r="C8" s="20" t="s">
        <v>10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25</v>
      </c>
      <c r="B9" s="19" t="s">
        <v>636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27</v>
      </c>
      <c r="B10" s="26" t="s">
        <v>637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638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31</v>
      </c>
      <c r="B12" s="26" t="s">
        <v>639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33</v>
      </c>
      <c r="B13" s="19" t="s">
        <v>640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37</v>
      </c>
      <c r="B14" s="26" t="s">
        <v>641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39</v>
      </c>
      <c r="B15" s="19" t="s">
        <v>642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41</v>
      </c>
      <c r="B16" s="26" t="s">
        <v>643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43</v>
      </c>
      <c r="B17" s="19" t="s">
        <v>644</v>
      </c>
      <c r="C17" s="20" t="s">
        <v>10</v>
      </c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3" t="s">
        <v>79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645</v>
      </c>
      <c r="C3" s="20" t="s">
        <v>10</v>
      </c>
      <c r="D3" s="21"/>
      <c r="E3" s="22"/>
      <c r="F3" s="23"/>
      <c r="G3" s="24">
        <f t="shared" ref="G3:G11" si="0">MAX(0,IF(E3="",0,E3)-IF(F3="",0,F3))</f>
        <v>0</v>
      </c>
    </row>
    <row r="4" spans="1:7" ht="16.2" customHeight="1" x14ac:dyDescent="0.3">
      <c r="A4" s="25" t="s">
        <v>11</v>
      </c>
      <c r="B4" s="26" t="s">
        <v>646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13</v>
      </c>
      <c r="B5" s="19" t="s">
        <v>647</v>
      </c>
      <c r="C5" s="20" t="s">
        <v>10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15</v>
      </c>
      <c r="B6" s="26" t="s">
        <v>648</v>
      </c>
      <c r="C6" s="20" t="s">
        <v>10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90</v>
      </c>
      <c r="B7" s="19" t="s">
        <v>635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23</v>
      </c>
      <c r="B8" s="26" t="s">
        <v>649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25</v>
      </c>
      <c r="B9" s="19" t="s">
        <v>641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27</v>
      </c>
      <c r="B10" s="26" t="s">
        <v>649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637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5"/>
  <sheetViews>
    <sheetView workbookViewId="0">
      <pane ySplit="2" topLeftCell="A4" activePane="bottomLeft" state="frozen"/>
      <selection pane="bottomLeft" activeCell="F16" sqref="F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4" t="s">
        <v>80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650</v>
      </c>
      <c r="C3" s="20" t="s">
        <v>10</v>
      </c>
      <c r="D3" s="21"/>
      <c r="E3" s="22">
        <v>1</v>
      </c>
      <c r="F3" s="23">
        <v>1</v>
      </c>
      <c r="G3" s="24">
        <f t="shared" ref="G3:G25" si="0">MAX(0,IF(E3="",0,E3)-IF(F3="",0,F3))</f>
        <v>0</v>
      </c>
    </row>
    <row r="4" spans="1:7" ht="16.2" customHeight="1" x14ac:dyDescent="0.3">
      <c r="A4" s="25" t="s">
        <v>11</v>
      </c>
      <c r="B4" s="26" t="s">
        <v>651</v>
      </c>
      <c r="C4" s="20" t="s">
        <v>10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13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15</v>
      </c>
      <c r="B6" s="26" t="s">
        <v>653</v>
      </c>
      <c r="C6" s="20" t="s">
        <v>10</v>
      </c>
      <c r="D6" s="21"/>
      <c r="E6" s="22">
        <v>2</v>
      </c>
      <c r="F6" s="23">
        <v>2</v>
      </c>
      <c r="G6" s="24">
        <f t="shared" si="0"/>
        <v>0</v>
      </c>
    </row>
    <row r="7" spans="1:7" ht="16.2" customHeight="1" x14ac:dyDescent="0.3">
      <c r="A7" s="18" t="s">
        <v>90</v>
      </c>
      <c r="B7" s="19" t="s">
        <v>654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23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25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27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31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33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37</v>
      </c>
      <c r="B14" s="26" t="s">
        <v>661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39</v>
      </c>
      <c r="B15" s="19" t="s">
        <v>662</v>
      </c>
      <c r="C15" s="20" t="s">
        <v>10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41</v>
      </c>
      <c r="B16" s="26" t="s">
        <v>663</v>
      </c>
      <c r="C16" s="20" t="s">
        <v>10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43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45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47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49</v>
      </c>
      <c r="B20" s="26" t="s">
        <v>667</v>
      </c>
      <c r="C20" s="20" t="s">
        <v>10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51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53</v>
      </c>
      <c r="B22" s="26" t="s">
        <v>669</v>
      </c>
      <c r="C22" s="20" t="s">
        <v>10</v>
      </c>
      <c r="D22" s="21"/>
      <c r="E22" s="22">
        <v>1</v>
      </c>
      <c r="F22" s="23">
        <v>1</v>
      </c>
      <c r="G22" s="24">
        <f t="shared" si="0"/>
        <v>0</v>
      </c>
    </row>
    <row r="23" spans="1:7" ht="16.2" customHeight="1" x14ac:dyDescent="0.3">
      <c r="A23" s="18" t="s">
        <v>670</v>
      </c>
      <c r="B23" s="19" t="s">
        <v>671</v>
      </c>
      <c r="C23" s="20" t="s">
        <v>10</v>
      </c>
      <c r="D23" s="21"/>
      <c r="E23" s="22"/>
      <c r="F23" s="23"/>
      <c r="G23" s="24">
        <f t="shared" si="0"/>
        <v>0</v>
      </c>
    </row>
    <row r="24" spans="1:7" ht="16.2" customHeight="1" x14ac:dyDescent="0.3">
      <c r="A24" s="25" t="s">
        <v>672</v>
      </c>
      <c r="B24" s="26" t="s">
        <v>673</v>
      </c>
      <c r="C24" s="20" t="s">
        <v>10</v>
      </c>
      <c r="D24" s="21"/>
      <c r="E24" s="22">
        <v>1</v>
      </c>
      <c r="F24" s="23">
        <v>1</v>
      </c>
      <c r="G24" s="24">
        <f t="shared" si="0"/>
        <v>0</v>
      </c>
    </row>
    <row r="25" spans="1:7" ht="16.2" customHeight="1" x14ac:dyDescent="0.3">
      <c r="A25" s="18" t="s">
        <v>674</v>
      </c>
      <c r="B25" s="19" t="s">
        <v>675</v>
      </c>
      <c r="C25" s="20" t="s">
        <v>10</v>
      </c>
      <c r="D25" s="21"/>
      <c r="E25" s="22">
        <v>1</v>
      </c>
      <c r="F25" s="23">
        <v>1</v>
      </c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5"/>
  <sheetViews>
    <sheetView workbookViewId="0">
      <pane ySplit="2" topLeftCell="A3" activePane="bottomLeft" state="frozen"/>
      <selection activeCell="G11" sqref="G11"/>
      <selection pane="bottomLeft" activeCell="F3" sqref="F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5" t="s">
        <v>81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676</v>
      </c>
      <c r="B3" s="19" t="s">
        <v>650</v>
      </c>
      <c r="C3" s="20" t="s">
        <v>10</v>
      </c>
      <c r="D3" s="21"/>
      <c r="E3" s="22"/>
      <c r="F3" s="23"/>
      <c r="G3" s="24">
        <f t="shared" ref="G3:G25" si="0">MAX(0,IF(E3="",0,E3)-IF(F3="",0,F3))</f>
        <v>0</v>
      </c>
    </row>
    <row r="4" spans="1:7" ht="16.2" customHeight="1" x14ac:dyDescent="0.3">
      <c r="A4" s="25" t="s">
        <v>677</v>
      </c>
      <c r="B4" s="26" t="s">
        <v>651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678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679</v>
      </c>
      <c r="B6" s="26" t="s">
        <v>653</v>
      </c>
      <c r="C6" s="20" t="s">
        <v>10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680</v>
      </c>
      <c r="B7" s="19" t="s">
        <v>654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681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682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683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684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685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686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687</v>
      </c>
      <c r="B14" s="26" t="s">
        <v>661</v>
      </c>
      <c r="C14" s="20" t="s">
        <v>10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688</v>
      </c>
      <c r="B15" s="19" t="s">
        <v>662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689</v>
      </c>
      <c r="B16" s="26" t="s">
        <v>663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690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691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692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693</v>
      </c>
      <c r="B20" s="26" t="s">
        <v>667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694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695</v>
      </c>
      <c r="B22" s="26" t="s">
        <v>669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2" customHeight="1" x14ac:dyDescent="0.3">
      <c r="A23" s="18" t="s">
        <v>696</v>
      </c>
      <c r="B23" s="19" t="s">
        <v>671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2" customHeight="1" x14ac:dyDescent="0.3">
      <c r="A24" s="25" t="s">
        <v>697</v>
      </c>
      <c r="B24" s="26" t="s">
        <v>673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2" customHeight="1" x14ac:dyDescent="0.3">
      <c r="A25" s="18" t="s">
        <v>698</v>
      </c>
      <c r="B25" s="19" t="s">
        <v>675</v>
      </c>
      <c r="C25" s="20" t="s">
        <v>10</v>
      </c>
      <c r="D25" s="21"/>
      <c r="E25" s="22"/>
      <c r="F25" s="23"/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7"/>
  <sheetViews>
    <sheetView workbookViewId="0">
      <pane ySplit="2" topLeftCell="A3" activePane="bottomLeft" state="frozen"/>
      <selection pane="bottomLeft" activeCell="C15" sqref="C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6" t="s">
        <v>82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699</v>
      </c>
      <c r="B3" s="19" t="s">
        <v>700</v>
      </c>
      <c r="C3" s="20"/>
      <c r="D3" s="21"/>
      <c r="E3" s="22"/>
      <c r="F3" s="23"/>
      <c r="G3" s="24">
        <f t="shared" ref="G3:G17" si="0">MAX(0,IF(E3="",0,E3)-IF(F3="",0,F3))</f>
        <v>0</v>
      </c>
    </row>
    <row r="4" spans="1:7" ht="16.2" customHeight="1" x14ac:dyDescent="0.3">
      <c r="A4" s="25" t="s">
        <v>701</v>
      </c>
      <c r="B4" s="26" t="s">
        <v>702</v>
      </c>
      <c r="C4" s="20"/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703</v>
      </c>
      <c r="B5" s="19" t="s">
        <v>704</v>
      </c>
      <c r="C5" s="20"/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705</v>
      </c>
      <c r="B6" s="26" t="s">
        <v>706</v>
      </c>
      <c r="C6" s="20"/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707</v>
      </c>
      <c r="B7" s="19" t="s">
        <v>708</v>
      </c>
      <c r="C7" s="20"/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709</v>
      </c>
      <c r="B8" s="26" t="s">
        <v>710</v>
      </c>
      <c r="C8" s="20"/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711</v>
      </c>
      <c r="B9" s="19" t="s">
        <v>712</v>
      </c>
      <c r="C9" s="20"/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713</v>
      </c>
      <c r="B10" s="26" t="s">
        <v>714</v>
      </c>
      <c r="C10" s="20"/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715</v>
      </c>
      <c r="B11" s="19" t="s">
        <v>716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717</v>
      </c>
      <c r="B12" s="26" t="s">
        <v>718</v>
      </c>
      <c r="C12" s="20"/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719</v>
      </c>
      <c r="B13" s="19" t="s">
        <v>720</v>
      </c>
      <c r="C13" s="20"/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721</v>
      </c>
      <c r="B14" s="26" t="s">
        <v>722</v>
      </c>
      <c r="C14" s="20"/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723</v>
      </c>
      <c r="B15" s="19" t="s">
        <v>724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725</v>
      </c>
      <c r="B16" s="26" t="s">
        <v>726</v>
      </c>
      <c r="C16" s="20"/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727</v>
      </c>
      <c r="B17" s="19" t="s">
        <v>728</v>
      </c>
      <c r="C17" s="20"/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82"/>
  <sheetViews>
    <sheetView workbookViewId="0">
      <pane ySplit="2" topLeftCell="A56" activePane="bottomLeft" state="frozen"/>
      <selection pane="bottomLeft" activeCell="L74" sqref="L7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7" t="s">
        <v>729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730</v>
      </c>
      <c r="B3" s="19" t="s">
        <v>731</v>
      </c>
      <c r="C3" s="20" t="s">
        <v>10</v>
      </c>
      <c r="D3" s="21"/>
      <c r="E3" s="22"/>
      <c r="F3" s="23"/>
      <c r="G3" s="24">
        <f t="shared" ref="G3:G34" si="0">MAX(0,IF(E3="",0,E3)-IF(F3="",0,F3))</f>
        <v>0</v>
      </c>
    </row>
    <row r="4" spans="1:7" ht="16.2" customHeight="1" x14ac:dyDescent="0.3">
      <c r="A4" s="25" t="s">
        <v>732</v>
      </c>
      <c r="B4" s="26" t="s">
        <v>733</v>
      </c>
      <c r="C4" s="20" t="s">
        <v>10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734</v>
      </c>
      <c r="B5" s="19" t="s">
        <v>735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736</v>
      </c>
      <c r="B6" s="26" t="s">
        <v>737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738</v>
      </c>
      <c r="B7" s="19" t="s">
        <v>739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740</v>
      </c>
      <c r="B8" s="26" t="s">
        <v>741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742</v>
      </c>
      <c r="B9" s="19" t="s">
        <v>743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744</v>
      </c>
      <c r="B10" s="26" t="s">
        <v>745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746</v>
      </c>
      <c r="B11" s="19" t="s">
        <v>747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748</v>
      </c>
      <c r="B12" s="26" t="s">
        <v>749</v>
      </c>
      <c r="C12" s="20" t="s">
        <v>10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750</v>
      </c>
      <c r="B13" s="19" t="s">
        <v>751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752</v>
      </c>
      <c r="B14" s="26" t="s">
        <v>753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754</v>
      </c>
      <c r="B15" s="19" t="s">
        <v>755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756</v>
      </c>
      <c r="B16" s="26" t="s">
        <v>757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758</v>
      </c>
      <c r="B17" s="19" t="s">
        <v>759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760</v>
      </c>
      <c r="B18" s="26" t="s">
        <v>761</v>
      </c>
      <c r="C18" s="20" t="s">
        <v>10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762</v>
      </c>
      <c r="B19" s="19" t="s">
        <v>763</v>
      </c>
      <c r="C19" s="20" t="s">
        <v>10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764</v>
      </c>
      <c r="B20" s="26" t="s">
        <v>765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766</v>
      </c>
      <c r="B21" s="19" t="s">
        <v>767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768</v>
      </c>
      <c r="B22" s="26" t="s">
        <v>769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2" customHeight="1" x14ac:dyDescent="0.3">
      <c r="A23" s="18" t="s">
        <v>770</v>
      </c>
      <c r="B23" s="19" t="s">
        <v>771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2" customHeight="1" x14ac:dyDescent="0.3">
      <c r="A24" s="25" t="s">
        <v>772</v>
      </c>
      <c r="B24" s="26" t="s">
        <v>773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2" customHeight="1" x14ac:dyDescent="0.3">
      <c r="A25" s="18" t="s">
        <v>774</v>
      </c>
      <c r="B25" s="19" t="s">
        <v>775</v>
      </c>
      <c r="C25" s="20" t="s">
        <v>10</v>
      </c>
      <c r="D25" s="21"/>
      <c r="E25" s="22"/>
      <c r="F25" s="23"/>
      <c r="G25" s="24">
        <f t="shared" si="0"/>
        <v>0</v>
      </c>
    </row>
    <row r="26" spans="1:7" ht="16.2" customHeight="1" x14ac:dyDescent="0.3">
      <c r="A26" s="25" t="s">
        <v>776</v>
      </c>
      <c r="B26" s="26" t="s">
        <v>777</v>
      </c>
      <c r="C26" s="20" t="s">
        <v>10</v>
      </c>
      <c r="D26" s="21"/>
      <c r="E26" s="22"/>
      <c r="F26" s="23"/>
      <c r="G26" s="24">
        <f t="shared" si="0"/>
        <v>0</v>
      </c>
    </row>
    <row r="27" spans="1:7" ht="16.2" customHeight="1" x14ac:dyDescent="0.3">
      <c r="A27" s="18" t="s">
        <v>778</v>
      </c>
      <c r="B27" s="19" t="s">
        <v>779</v>
      </c>
      <c r="C27" s="20" t="s">
        <v>10</v>
      </c>
      <c r="D27" s="21"/>
      <c r="E27" s="22"/>
      <c r="F27" s="23"/>
      <c r="G27" s="24">
        <f t="shared" si="0"/>
        <v>0</v>
      </c>
    </row>
    <row r="28" spans="1:7" ht="16.2" customHeight="1" x14ac:dyDescent="0.3">
      <c r="A28" s="25" t="s">
        <v>780</v>
      </c>
      <c r="B28" s="26" t="s">
        <v>781</v>
      </c>
      <c r="C28" s="20" t="s">
        <v>10</v>
      </c>
      <c r="D28" s="21"/>
      <c r="E28" s="22"/>
      <c r="F28" s="23"/>
      <c r="G28" s="24">
        <f t="shared" si="0"/>
        <v>0</v>
      </c>
    </row>
    <row r="29" spans="1:7" ht="16.2" customHeight="1" x14ac:dyDescent="0.3">
      <c r="A29" s="18" t="s">
        <v>782</v>
      </c>
      <c r="B29" s="19" t="s">
        <v>783</v>
      </c>
      <c r="C29" s="20" t="s">
        <v>10</v>
      </c>
      <c r="D29" s="21"/>
      <c r="E29" s="22"/>
      <c r="F29" s="23"/>
      <c r="G29" s="24">
        <f t="shared" si="0"/>
        <v>0</v>
      </c>
    </row>
    <row r="30" spans="1:7" ht="16.2" customHeight="1" x14ac:dyDescent="0.3">
      <c r="A30" s="25" t="s">
        <v>784</v>
      </c>
      <c r="B30" s="26" t="s">
        <v>785</v>
      </c>
      <c r="C30" s="20" t="s">
        <v>10</v>
      </c>
      <c r="D30" s="21"/>
      <c r="E30" s="22">
        <v>4</v>
      </c>
      <c r="F30" s="23">
        <v>4</v>
      </c>
      <c r="G30" s="24">
        <f t="shared" si="0"/>
        <v>0</v>
      </c>
    </row>
    <row r="31" spans="1:7" ht="16.2" customHeight="1" x14ac:dyDescent="0.3">
      <c r="A31" s="18" t="s">
        <v>786</v>
      </c>
      <c r="B31" s="19" t="s">
        <v>787</v>
      </c>
      <c r="C31" s="20" t="s">
        <v>10</v>
      </c>
      <c r="D31" s="21"/>
      <c r="E31" s="22"/>
      <c r="F31" s="23"/>
      <c r="G31" s="24">
        <f t="shared" si="0"/>
        <v>0</v>
      </c>
    </row>
    <row r="32" spans="1:7" ht="16.2" customHeight="1" x14ac:dyDescent="0.3">
      <c r="A32" s="25" t="s">
        <v>788</v>
      </c>
      <c r="B32" s="26" t="s">
        <v>789</v>
      </c>
      <c r="C32" s="20" t="s">
        <v>10</v>
      </c>
      <c r="D32" s="21"/>
      <c r="E32" s="22"/>
      <c r="F32" s="23"/>
      <c r="G32" s="24">
        <f t="shared" si="0"/>
        <v>0</v>
      </c>
    </row>
    <row r="33" spans="1:7" ht="16.2" customHeight="1" x14ac:dyDescent="0.3">
      <c r="A33" s="18" t="s">
        <v>790</v>
      </c>
      <c r="B33" s="19" t="s">
        <v>791</v>
      </c>
      <c r="C33" s="20" t="s">
        <v>10</v>
      </c>
      <c r="D33" s="21"/>
      <c r="E33" s="22"/>
      <c r="F33" s="23"/>
      <c r="G33" s="24">
        <f t="shared" si="0"/>
        <v>0</v>
      </c>
    </row>
    <row r="34" spans="1:7" ht="16.2" customHeight="1" x14ac:dyDescent="0.3">
      <c r="A34" s="25" t="s">
        <v>792</v>
      </c>
      <c r="B34" s="26" t="s">
        <v>793</v>
      </c>
      <c r="C34" s="20" t="s">
        <v>10</v>
      </c>
      <c r="D34" s="21"/>
      <c r="E34" s="22"/>
      <c r="F34" s="23"/>
      <c r="G34" s="24">
        <f t="shared" si="0"/>
        <v>0</v>
      </c>
    </row>
    <row r="35" spans="1:7" ht="16.2" customHeight="1" x14ac:dyDescent="0.3">
      <c r="A35" s="18" t="s">
        <v>794</v>
      </c>
      <c r="B35" s="19" t="s">
        <v>795</v>
      </c>
      <c r="C35" s="20" t="s">
        <v>10</v>
      </c>
      <c r="D35" s="21"/>
      <c r="E35" s="22"/>
      <c r="F35" s="23"/>
      <c r="G35" s="24">
        <f t="shared" ref="G35:G66" si="1">MAX(0,IF(E35="",0,E35)-IF(F35="",0,F35))</f>
        <v>0</v>
      </c>
    </row>
    <row r="36" spans="1:7" ht="16.2" customHeight="1" x14ac:dyDescent="0.3">
      <c r="A36" s="25" t="s">
        <v>796</v>
      </c>
      <c r="B36" s="26" t="s">
        <v>797</v>
      </c>
      <c r="C36" s="20" t="s">
        <v>10</v>
      </c>
      <c r="D36" s="21"/>
      <c r="E36" s="22"/>
      <c r="F36" s="23"/>
      <c r="G36" s="24">
        <f t="shared" si="1"/>
        <v>0</v>
      </c>
    </row>
    <row r="37" spans="1:7" ht="16.2" customHeight="1" x14ac:dyDescent="0.3">
      <c r="A37" s="18" t="s">
        <v>798</v>
      </c>
      <c r="B37" s="19" t="s">
        <v>799</v>
      </c>
      <c r="C37" s="20" t="s">
        <v>10</v>
      </c>
      <c r="D37" s="21"/>
      <c r="E37" s="22">
        <v>1</v>
      </c>
      <c r="F37" s="23">
        <v>1</v>
      </c>
      <c r="G37" s="24">
        <f t="shared" si="1"/>
        <v>0</v>
      </c>
    </row>
    <row r="38" spans="1:7" ht="16.2" customHeight="1" x14ac:dyDescent="0.3">
      <c r="A38" s="25" t="s">
        <v>800</v>
      </c>
      <c r="B38" s="26" t="s">
        <v>801</v>
      </c>
      <c r="C38" s="20" t="s">
        <v>10</v>
      </c>
      <c r="D38" s="21"/>
      <c r="E38" s="22">
        <v>2</v>
      </c>
      <c r="F38" s="23">
        <v>2</v>
      </c>
      <c r="G38" s="24">
        <f t="shared" si="1"/>
        <v>0</v>
      </c>
    </row>
    <row r="39" spans="1:7" ht="16.2" customHeight="1" x14ac:dyDescent="0.3">
      <c r="A39" s="18" t="s">
        <v>802</v>
      </c>
      <c r="B39" s="19" t="s">
        <v>803</v>
      </c>
      <c r="C39" s="20" t="s">
        <v>10</v>
      </c>
      <c r="D39" s="21"/>
      <c r="E39" s="22"/>
      <c r="F39" s="23"/>
      <c r="G39" s="24">
        <f t="shared" si="1"/>
        <v>0</v>
      </c>
    </row>
    <row r="40" spans="1:7" ht="16.2" customHeight="1" x14ac:dyDescent="0.3">
      <c r="A40" s="25" t="s">
        <v>804</v>
      </c>
      <c r="B40" s="26" t="s">
        <v>805</v>
      </c>
      <c r="C40" s="20" t="s">
        <v>10</v>
      </c>
      <c r="D40" s="21"/>
      <c r="E40" s="22"/>
      <c r="F40" s="23"/>
      <c r="G40" s="24">
        <f t="shared" si="1"/>
        <v>0</v>
      </c>
    </row>
    <row r="41" spans="1:7" ht="16.2" customHeight="1" x14ac:dyDescent="0.3">
      <c r="A41" s="18" t="s">
        <v>806</v>
      </c>
      <c r="B41" s="19" t="s">
        <v>807</v>
      </c>
      <c r="C41" s="20" t="s">
        <v>10</v>
      </c>
      <c r="D41" s="21"/>
      <c r="E41" s="22"/>
      <c r="F41" s="23"/>
      <c r="G41" s="24">
        <f t="shared" si="1"/>
        <v>0</v>
      </c>
    </row>
    <row r="42" spans="1:7" ht="16.2" customHeight="1" x14ac:dyDescent="0.3">
      <c r="A42" s="25" t="s">
        <v>808</v>
      </c>
      <c r="B42" s="26" t="s">
        <v>809</v>
      </c>
      <c r="C42" s="20" t="s">
        <v>10</v>
      </c>
      <c r="D42" s="21"/>
      <c r="E42" s="22"/>
      <c r="F42" s="23"/>
      <c r="G42" s="24">
        <f t="shared" si="1"/>
        <v>0</v>
      </c>
    </row>
    <row r="43" spans="1:7" ht="16.2" customHeight="1" x14ac:dyDescent="0.3">
      <c r="A43" s="18" t="s">
        <v>810</v>
      </c>
      <c r="B43" s="19" t="s">
        <v>811</v>
      </c>
      <c r="C43" s="20" t="s">
        <v>10</v>
      </c>
      <c r="D43" s="21"/>
      <c r="E43" s="22"/>
      <c r="F43" s="23"/>
      <c r="G43" s="24">
        <f t="shared" si="1"/>
        <v>0</v>
      </c>
    </row>
    <row r="44" spans="1:7" ht="16.2" customHeight="1" x14ac:dyDescent="0.3">
      <c r="A44" s="25" t="s">
        <v>812</v>
      </c>
      <c r="B44" s="26" t="s">
        <v>813</v>
      </c>
      <c r="C44" s="20" t="s">
        <v>10</v>
      </c>
      <c r="D44" s="21"/>
      <c r="E44" s="22"/>
      <c r="F44" s="23"/>
      <c r="G44" s="24">
        <f t="shared" si="1"/>
        <v>0</v>
      </c>
    </row>
    <row r="45" spans="1:7" ht="16.2" customHeight="1" x14ac:dyDescent="0.3">
      <c r="A45" s="18" t="s">
        <v>814</v>
      </c>
      <c r="B45" s="19" t="s">
        <v>815</v>
      </c>
      <c r="C45" s="20" t="s">
        <v>10</v>
      </c>
      <c r="D45" s="21"/>
      <c r="E45" s="22"/>
      <c r="F45" s="23"/>
      <c r="G45" s="24">
        <f t="shared" si="1"/>
        <v>0</v>
      </c>
    </row>
    <row r="46" spans="1:7" ht="16.2" customHeight="1" x14ac:dyDescent="0.3">
      <c r="A46" s="25" t="s">
        <v>816</v>
      </c>
      <c r="B46" s="26" t="s">
        <v>817</v>
      </c>
      <c r="C46" s="20" t="s">
        <v>10</v>
      </c>
      <c r="D46" s="21"/>
      <c r="E46" s="22"/>
      <c r="F46" s="23"/>
      <c r="G46" s="24">
        <f t="shared" si="1"/>
        <v>0</v>
      </c>
    </row>
    <row r="47" spans="1:7" ht="16.2" customHeight="1" x14ac:dyDescent="0.3">
      <c r="A47" s="18" t="s">
        <v>818</v>
      </c>
      <c r="B47" s="19" t="s">
        <v>819</v>
      </c>
      <c r="C47" s="20" t="s">
        <v>10</v>
      </c>
      <c r="D47" s="21"/>
      <c r="E47" s="22"/>
      <c r="F47" s="23"/>
      <c r="G47" s="24">
        <f t="shared" si="1"/>
        <v>0</v>
      </c>
    </row>
    <row r="48" spans="1:7" ht="16.2" customHeight="1" x14ac:dyDescent="0.3">
      <c r="A48" s="25" t="s">
        <v>820</v>
      </c>
      <c r="B48" s="26" t="s">
        <v>821</v>
      </c>
      <c r="C48" s="20" t="s">
        <v>10</v>
      </c>
      <c r="D48" s="21"/>
      <c r="E48" s="22"/>
      <c r="F48" s="23"/>
      <c r="G48" s="24">
        <f t="shared" si="1"/>
        <v>0</v>
      </c>
    </row>
    <row r="49" spans="1:7" ht="16.2" customHeight="1" x14ac:dyDescent="0.3">
      <c r="A49" s="18" t="s">
        <v>822</v>
      </c>
      <c r="B49" s="19" t="s">
        <v>823</v>
      </c>
      <c r="C49" s="20" t="s">
        <v>10</v>
      </c>
      <c r="D49" s="21"/>
      <c r="E49" s="22"/>
      <c r="F49" s="23"/>
      <c r="G49" s="24">
        <f t="shared" si="1"/>
        <v>0</v>
      </c>
    </row>
    <row r="50" spans="1:7" ht="16.2" customHeight="1" x14ac:dyDescent="0.3">
      <c r="A50" s="25" t="s">
        <v>824</v>
      </c>
      <c r="B50" s="26" t="s">
        <v>825</v>
      </c>
      <c r="C50" s="20" t="s">
        <v>10</v>
      </c>
      <c r="D50" s="21"/>
      <c r="E50" s="22">
        <v>2</v>
      </c>
      <c r="F50" s="23">
        <v>2</v>
      </c>
      <c r="G50" s="24">
        <f t="shared" si="1"/>
        <v>0</v>
      </c>
    </row>
    <row r="51" spans="1:7" ht="16.2" customHeight="1" x14ac:dyDescent="0.3">
      <c r="A51" s="18" t="s">
        <v>826</v>
      </c>
      <c r="B51" s="19" t="s">
        <v>827</v>
      </c>
      <c r="C51" s="20" t="s">
        <v>10</v>
      </c>
      <c r="D51" s="21"/>
      <c r="E51" s="22"/>
      <c r="F51" s="23"/>
      <c r="G51" s="24">
        <f t="shared" si="1"/>
        <v>0</v>
      </c>
    </row>
    <row r="52" spans="1:7" ht="16.2" customHeight="1" x14ac:dyDescent="0.3">
      <c r="A52" s="25" t="s">
        <v>828</v>
      </c>
      <c r="B52" s="26" t="s">
        <v>829</v>
      </c>
      <c r="C52" s="20" t="s">
        <v>10</v>
      </c>
      <c r="D52" s="21"/>
      <c r="E52" s="22"/>
      <c r="F52" s="23"/>
      <c r="G52" s="24">
        <f t="shared" si="1"/>
        <v>0</v>
      </c>
    </row>
    <row r="53" spans="1:7" ht="16.2" customHeight="1" x14ac:dyDescent="0.3">
      <c r="A53" s="18" t="s">
        <v>830</v>
      </c>
      <c r="B53" s="19" t="s">
        <v>831</v>
      </c>
      <c r="C53" s="20" t="s">
        <v>10</v>
      </c>
      <c r="D53" s="21"/>
      <c r="E53" s="22">
        <v>2</v>
      </c>
      <c r="F53" s="23">
        <v>2</v>
      </c>
      <c r="G53" s="24">
        <f t="shared" si="1"/>
        <v>0</v>
      </c>
    </row>
    <row r="54" spans="1:7" ht="16.2" customHeight="1" x14ac:dyDescent="0.3">
      <c r="A54" s="25" t="s">
        <v>832</v>
      </c>
      <c r="B54" s="26" t="s">
        <v>833</v>
      </c>
      <c r="C54" s="20" t="s">
        <v>10</v>
      </c>
      <c r="D54" s="21"/>
      <c r="E54" s="22"/>
      <c r="F54" s="23"/>
      <c r="G54" s="24">
        <f t="shared" si="1"/>
        <v>0</v>
      </c>
    </row>
    <row r="55" spans="1:7" ht="16.2" customHeight="1" x14ac:dyDescent="0.3">
      <c r="A55" s="18" t="s">
        <v>834</v>
      </c>
      <c r="B55" s="19" t="s">
        <v>835</v>
      </c>
      <c r="C55" s="20" t="s">
        <v>10</v>
      </c>
      <c r="D55" s="21"/>
      <c r="E55" s="22"/>
      <c r="F55" s="23"/>
      <c r="G55" s="24">
        <f t="shared" si="1"/>
        <v>0</v>
      </c>
    </row>
    <row r="56" spans="1:7" ht="16.2" customHeight="1" x14ac:dyDescent="0.3">
      <c r="A56" s="25" t="s">
        <v>836</v>
      </c>
      <c r="B56" s="26" t="s">
        <v>837</v>
      </c>
      <c r="C56" s="20" t="s">
        <v>10</v>
      </c>
      <c r="D56" s="21"/>
      <c r="E56" s="22">
        <v>1</v>
      </c>
      <c r="F56" s="23">
        <v>1</v>
      </c>
      <c r="G56" s="24">
        <f t="shared" si="1"/>
        <v>0</v>
      </c>
    </row>
    <row r="57" spans="1:7" ht="16.2" customHeight="1" x14ac:dyDescent="0.3">
      <c r="A57" s="18" t="s">
        <v>838</v>
      </c>
      <c r="B57" s="19" t="s">
        <v>839</v>
      </c>
      <c r="C57" s="20" t="s">
        <v>10</v>
      </c>
      <c r="D57" s="21"/>
      <c r="E57" s="22">
        <v>1</v>
      </c>
      <c r="F57" s="23">
        <v>1</v>
      </c>
      <c r="G57" s="24">
        <f t="shared" si="1"/>
        <v>0</v>
      </c>
    </row>
    <row r="58" spans="1:7" ht="16.2" customHeight="1" x14ac:dyDescent="0.3">
      <c r="A58" s="25" t="s">
        <v>840</v>
      </c>
      <c r="B58" s="26" t="s">
        <v>841</v>
      </c>
      <c r="C58" s="20" t="s">
        <v>10</v>
      </c>
      <c r="D58" s="21"/>
      <c r="E58" s="22"/>
      <c r="F58" s="23"/>
      <c r="G58" s="24">
        <f t="shared" si="1"/>
        <v>0</v>
      </c>
    </row>
    <row r="59" spans="1:7" ht="16.2" customHeight="1" x14ac:dyDescent="0.3">
      <c r="A59" s="18" t="s">
        <v>842</v>
      </c>
      <c r="B59" s="19" t="s">
        <v>843</v>
      </c>
      <c r="C59" s="20" t="s">
        <v>10</v>
      </c>
      <c r="D59" s="21"/>
      <c r="E59" s="22">
        <v>2</v>
      </c>
      <c r="F59" s="23">
        <v>2</v>
      </c>
      <c r="G59" s="24">
        <f t="shared" si="1"/>
        <v>0</v>
      </c>
    </row>
    <row r="60" spans="1:7" ht="16.2" customHeight="1" x14ac:dyDescent="0.3">
      <c r="A60" s="25" t="s">
        <v>844</v>
      </c>
      <c r="B60" s="26" t="s">
        <v>845</v>
      </c>
      <c r="C60" s="20" t="s">
        <v>10</v>
      </c>
      <c r="D60" s="21"/>
      <c r="E60" s="22"/>
      <c r="F60" s="23"/>
      <c r="G60" s="24">
        <f t="shared" si="1"/>
        <v>0</v>
      </c>
    </row>
    <row r="61" spans="1:7" ht="16.2" customHeight="1" x14ac:dyDescent="0.3">
      <c r="A61" s="18" t="s">
        <v>846</v>
      </c>
      <c r="B61" s="19" t="s">
        <v>847</v>
      </c>
      <c r="C61" s="20" t="s">
        <v>10</v>
      </c>
      <c r="D61" s="21"/>
      <c r="E61" s="22"/>
      <c r="F61" s="23"/>
      <c r="G61" s="24">
        <f t="shared" si="1"/>
        <v>0</v>
      </c>
    </row>
    <row r="62" spans="1:7" ht="16.2" customHeight="1" x14ac:dyDescent="0.3">
      <c r="A62" s="25" t="s">
        <v>848</v>
      </c>
      <c r="B62" s="26" t="s">
        <v>849</v>
      </c>
      <c r="C62" s="20" t="s">
        <v>10</v>
      </c>
      <c r="D62" s="21"/>
      <c r="E62" s="22">
        <v>1</v>
      </c>
      <c r="F62" s="23">
        <v>1</v>
      </c>
      <c r="G62" s="24">
        <f t="shared" si="1"/>
        <v>0</v>
      </c>
    </row>
    <row r="63" spans="1:7" ht="16.2" customHeight="1" x14ac:dyDescent="0.3">
      <c r="A63" s="18" t="s">
        <v>850</v>
      </c>
      <c r="B63" s="19" t="s">
        <v>851</v>
      </c>
      <c r="C63" s="20"/>
      <c r="D63" s="21"/>
      <c r="E63" s="22"/>
      <c r="F63" s="23"/>
      <c r="G63" s="24">
        <f t="shared" si="1"/>
        <v>0</v>
      </c>
    </row>
    <row r="64" spans="1:7" ht="16.2" customHeight="1" x14ac:dyDescent="0.3">
      <c r="A64" s="25" t="s">
        <v>852</v>
      </c>
      <c r="B64" s="26" t="s">
        <v>853</v>
      </c>
      <c r="C64" s="20"/>
      <c r="D64" s="21"/>
      <c r="E64" s="22">
        <v>2</v>
      </c>
      <c r="F64" s="23">
        <v>1</v>
      </c>
      <c r="G64" s="24">
        <f t="shared" si="1"/>
        <v>1</v>
      </c>
    </row>
    <row r="65" spans="1:7" ht="16.2" customHeight="1" x14ac:dyDescent="0.3">
      <c r="A65" s="18" t="s">
        <v>854</v>
      </c>
      <c r="B65" s="19" t="s">
        <v>855</v>
      </c>
      <c r="C65" s="20"/>
      <c r="D65" s="21"/>
      <c r="E65" s="22"/>
      <c r="F65" s="23"/>
      <c r="G65" s="24">
        <f t="shared" si="1"/>
        <v>0</v>
      </c>
    </row>
    <row r="66" spans="1:7" ht="16.2" customHeight="1" x14ac:dyDescent="0.3">
      <c r="A66" s="25" t="s">
        <v>856</v>
      </c>
      <c r="B66" s="26" t="s">
        <v>857</v>
      </c>
      <c r="C66" s="20"/>
      <c r="D66" s="21"/>
      <c r="E66" s="22">
        <v>1</v>
      </c>
      <c r="F66" s="23">
        <v>1</v>
      </c>
      <c r="G66" s="24">
        <f t="shared" si="1"/>
        <v>0</v>
      </c>
    </row>
    <row r="67" spans="1:7" ht="16.2" customHeight="1" x14ac:dyDescent="0.3">
      <c r="A67" s="18" t="s">
        <v>858</v>
      </c>
      <c r="B67" s="19" t="s">
        <v>859</v>
      </c>
      <c r="C67" s="20"/>
      <c r="D67" s="21"/>
      <c r="E67" s="22">
        <v>1</v>
      </c>
      <c r="F67" s="23">
        <v>1</v>
      </c>
      <c r="G67" s="24">
        <f t="shared" ref="G67:G82" si="2">MAX(0,IF(E67="",0,E67)-IF(F67="",0,F67))</f>
        <v>0</v>
      </c>
    </row>
    <row r="68" spans="1:7" ht="16.2" customHeight="1" x14ac:dyDescent="0.3">
      <c r="A68" s="25" t="s">
        <v>860</v>
      </c>
      <c r="B68" s="26" t="s">
        <v>861</v>
      </c>
      <c r="C68" s="20"/>
      <c r="D68" s="21"/>
      <c r="E68" s="22"/>
      <c r="F68" s="23"/>
      <c r="G68" s="24">
        <f t="shared" si="2"/>
        <v>0</v>
      </c>
    </row>
    <row r="69" spans="1:7" ht="16.2" customHeight="1" x14ac:dyDescent="0.3">
      <c r="A69" s="18" t="s">
        <v>862</v>
      </c>
      <c r="B69" s="19" t="s">
        <v>863</v>
      </c>
      <c r="C69" s="20"/>
      <c r="D69" s="21"/>
      <c r="E69" s="22">
        <v>2</v>
      </c>
      <c r="F69" s="23"/>
      <c r="G69" s="24">
        <f t="shared" si="2"/>
        <v>2</v>
      </c>
    </row>
    <row r="70" spans="1:7" ht="16.2" customHeight="1" x14ac:dyDescent="0.3">
      <c r="A70" s="25" t="s">
        <v>864</v>
      </c>
      <c r="B70" s="26" t="s">
        <v>865</v>
      </c>
      <c r="C70" s="20"/>
      <c r="D70" s="21"/>
      <c r="E70" s="22"/>
      <c r="F70" s="23"/>
      <c r="G70" s="24">
        <f t="shared" si="2"/>
        <v>0</v>
      </c>
    </row>
    <row r="71" spans="1:7" ht="16.2" customHeight="1" x14ac:dyDescent="0.3">
      <c r="A71" s="18" t="s">
        <v>866</v>
      </c>
      <c r="B71" s="19" t="s">
        <v>867</v>
      </c>
      <c r="C71" s="20"/>
      <c r="D71" s="21"/>
      <c r="E71" s="22"/>
      <c r="F71" s="23"/>
      <c r="G71" s="24">
        <f t="shared" si="2"/>
        <v>0</v>
      </c>
    </row>
    <row r="72" spans="1:7" ht="16.2" customHeight="1" x14ac:dyDescent="0.3">
      <c r="A72" s="25" t="s">
        <v>868</v>
      </c>
      <c r="B72" s="26" t="s">
        <v>869</v>
      </c>
      <c r="C72" s="20"/>
      <c r="D72" s="21"/>
      <c r="E72" s="22">
        <v>1</v>
      </c>
      <c r="F72" s="23">
        <v>1</v>
      </c>
      <c r="G72" s="24">
        <f t="shared" si="2"/>
        <v>0</v>
      </c>
    </row>
    <row r="73" spans="1:7" ht="16.2" customHeight="1" x14ac:dyDescent="0.3">
      <c r="A73" s="18" t="s">
        <v>870</v>
      </c>
      <c r="B73" s="19" t="s">
        <v>871</v>
      </c>
      <c r="C73" s="20"/>
      <c r="D73" s="21"/>
      <c r="E73" s="22"/>
      <c r="F73" s="23"/>
      <c r="G73" s="24">
        <f t="shared" si="2"/>
        <v>0</v>
      </c>
    </row>
    <row r="74" spans="1:7" ht="16.2" customHeight="1" x14ac:dyDescent="0.3">
      <c r="A74" s="25" t="s">
        <v>872</v>
      </c>
      <c r="B74" s="26" t="s">
        <v>873</v>
      </c>
      <c r="C74" s="20"/>
      <c r="D74" s="21"/>
      <c r="E74" s="22">
        <v>1</v>
      </c>
      <c r="F74" s="23">
        <v>1</v>
      </c>
      <c r="G74" s="24">
        <f t="shared" si="2"/>
        <v>0</v>
      </c>
    </row>
    <row r="75" spans="1:7" ht="16.2" customHeight="1" x14ac:dyDescent="0.3">
      <c r="A75" s="18" t="s">
        <v>874</v>
      </c>
      <c r="B75" s="19" t="s">
        <v>875</v>
      </c>
      <c r="C75" s="20"/>
      <c r="D75" s="21"/>
      <c r="E75" s="22"/>
      <c r="F75" s="23"/>
      <c r="G75" s="24">
        <f t="shared" si="2"/>
        <v>0</v>
      </c>
    </row>
    <row r="76" spans="1:7" ht="16.2" customHeight="1" x14ac:dyDescent="0.3">
      <c r="A76" s="25" t="s">
        <v>876</v>
      </c>
      <c r="B76" s="26" t="s">
        <v>877</v>
      </c>
      <c r="C76" s="20"/>
      <c r="D76" s="21"/>
      <c r="E76" s="22"/>
      <c r="F76" s="23"/>
      <c r="G76" s="24">
        <f t="shared" si="2"/>
        <v>0</v>
      </c>
    </row>
    <row r="77" spans="1:7" ht="16.2" customHeight="1" x14ac:dyDescent="0.3">
      <c r="A77" s="18" t="s">
        <v>878</v>
      </c>
      <c r="B77" s="19" t="s">
        <v>879</v>
      </c>
      <c r="C77" s="20"/>
      <c r="D77" s="21"/>
      <c r="E77" s="22"/>
      <c r="F77" s="23"/>
      <c r="G77" s="24">
        <f t="shared" si="2"/>
        <v>0</v>
      </c>
    </row>
    <row r="78" spans="1:7" ht="16.2" customHeight="1" x14ac:dyDescent="0.3">
      <c r="A78" s="25" t="s">
        <v>880</v>
      </c>
      <c r="B78" s="26" t="s">
        <v>881</v>
      </c>
      <c r="C78" s="20"/>
      <c r="D78" s="21"/>
      <c r="E78" s="22"/>
      <c r="F78" s="23"/>
      <c r="G78" s="24">
        <f t="shared" si="2"/>
        <v>0</v>
      </c>
    </row>
    <row r="79" spans="1:7" ht="16.2" customHeight="1" x14ac:dyDescent="0.3">
      <c r="A79" s="18" t="s">
        <v>882</v>
      </c>
      <c r="B79" s="19" t="s">
        <v>883</v>
      </c>
      <c r="C79" s="20"/>
      <c r="D79" s="21"/>
      <c r="E79" s="22">
        <v>1</v>
      </c>
      <c r="F79" s="23"/>
      <c r="G79" s="24">
        <f t="shared" si="2"/>
        <v>1</v>
      </c>
    </row>
    <row r="80" spans="1:7" ht="16.2" customHeight="1" x14ac:dyDescent="0.3">
      <c r="A80" s="25" t="s">
        <v>884</v>
      </c>
      <c r="B80" s="26" t="s">
        <v>885</v>
      </c>
      <c r="C80" s="20"/>
      <c r="D80" s="21"/>
      <c r="E80" s="22"/>
      <c r="F80" s="23"/>
      <c r="G80" s="24">
        <f t="shared" si="2"/>
        <v>0</v>
      </c>
    </row>
    <row r="81" spans="1:7" ht="16.2" customHeight="1" x14ac:dyDescent="0.3">
      <c r="A81" s="18" t="s">
        <v>886</v>
      </c>
      <c r="B81" s="19" t="s">
        <v>887</v>
      </c>
      <c r="C81" s="20"/>
      <c r="D81" s="21"/>
      <c r="E81" s="22">
        <v>4</v>
      </c>
      <c r="F81" s="23">
        <v>4</v>
      </c>
      <c r="G81" s="24">
        <f t="shared" si="2"/>
        <v>0</v>
      </c>
    </row>
    <row r="82" spans="1:7" ht="16.2" customHeight="1" x14ac:dyDescent="0.3">
      <c r="A82" s="25" t="s">
        <v>888</v>
      </c>
      <c r="B82" s="26" t="s">
        <v>889</v>
      </c>
      <c r="C82" s="20"/>
      <c r="D82" s="21"/>
      <c r="E82" s="22">
        <v>1</v>
      </c>
      <c r="F82" s="23">
        <v>1</v>
      </c>
      <c r="G82" s="24">
        <f t="shared" si="2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28</vt:i4>
      </vt:variant>
    </vt:vector>
  </HeadingPairs>
  <TitlesOfParts>
    <vt:vector size="28" baseType="lpstr">
      <vt:lpstr>RESUMEN</vt:lpstr>
      <vt:lpstr>D. ALAVÉS</vt:lpstr>
      <vt:lpstr>ATHLETIC CLUB</vt:lpstr>
      <vt:lpstr>ATLÉTICO DE MADRID</vt:lpstr>
      <vt:lpstr>FC BARCELONA</vt:lpstr>
      <vt:lpstr>REAL BETIS</vt:lpstr>
      <vt:lpstr>RC CELTA DE VIGO</vt:lpstr>
      <vt:lpstr>RC DEPORTIVO</vt:lpstr>
      <vt:lpstr>ELCHE CF</vt:lpstr>
      <vt:lpstr>RCD ESPANYOL</vt:lpstr>
      <vt:lpstr>GETAFE CF</vt:lpstr>
      <vt:lpstr>LEVANTE UD</vt:lpstr>
      <vt:lpstr>REAL MADRID CF</vt:lpstr>
      <vt:lpstr>MÁLAGA CF</vt:lpstr>
      <vt:lpstr>CA OSASUNA</vt:lpstr>
      <vt:lpstr>R. RACING CLUB</vt:lpstr>
      <vt:lpstr>RAYO VALLECANO</vt:lpstr>
      <vt:lpstr>REAL SOCIEDAD</vt:lpstr>
      <vt:lpstr>SEVILLA FC</vt:lpstr>
      <vt:lpstr>VALENCIA CF</vt:lpstr>
      <vt:lpstr>VILLARREAL CF</vt:lpstr>
      <vt:lpstr>ÚLTIMOS FICHAJES</vt:lpstr>
      <vt:lpstr>ADN - LALIGA PRIME</vt:lpstr>
      <vt:lpstr>LALIGA FANTASY</vt:lpstr>
      <vt:lpstr>DRAFT 23</vt:lpstr>
      <vt:lpstr>DRAFT 23 KROMIX</vt:lpstr>
      <vt:lpstr>EXTRA STICKERS</vt:lpstr>
      <vt:lpstr>CHICLE LIGA 2627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2026-08-19T12:02:29Z</dcterms:created>
  <dcterms:modified xsi:type="dcterms:W3CDTF">2026-10-10T15:47:29Z</dcterms:modified>
</cp:coreProperties>
</file>