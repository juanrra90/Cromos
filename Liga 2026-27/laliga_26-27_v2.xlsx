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55EDFB76-4CEF-4AB5-9799-3E62E1E74A19}" xr6:coauthVersionLast="47" xr6:coauthVersionMax="47" xr10:uidLastSave="{00000000-0000-0000-0000-000000000000}"/>
  <bookViews>
    <workbookView xWindow="11784" yWindow="0" windowWidth="14808" windowHeight="12336" firstSheet="22" activeTab="24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ADN - LALIGA PRIME" sheetId="22" r:id="rId22"/>
    <sheet name="LALIGA FANTASY" sheetId="23" r:id="rId23"/>
    <sheet name="DRAFT 23" sheetId="24" r:id="rId24"/>
    <sheet name="DRAFT 23 KROMIX" sheetId="25" r:id="rId25"/>
    <sheet name="EXTRA STICKERS" sheetId="26" r:id="rId26"/>
    <sheet name="CHICLE LIGA 2627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7" l="1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8" i="1" s="1"/>
  <c r="G17" i="26"/>
  <c r="G16" i="26"/>
  <c r="G15" i="26"/>
  <c r="G14" i="26"/>
  <c r="G13" i="26"/>
  <c r="G12" i="26"/>
  <c r="G11" i="26"/>
  <c r="G10" i="26"/>
  <c r="G9" i="26"/>
  <c r="G8" i="26"/>
  <c r="G7" i="26"/>
  <c r="G6" i="26"/>
  <c r="G27" i="1" s="1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11" i="23"/>
  <c r="G10" i="23"/>
  <c r="G9" i="23"/>
  <c r="G8" i="23"/>
  <c r="G7" i="23"/>
  <c r="G6" i="23"/>
  <c r="G5" i="23"/>
  <c r="G4" i="23"/>
  <c r="G3" i="23"/>
  <c r="G24" i="1" s="1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23" i="1" s="1"/>
  <c r="G4" i="22"/>
  <c r="G3" i="22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12" i="1" s="1"/>
  <c r="G4" i="11"/>
  <c r="G3" i="11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11" i="1" s="1"/>
  <c r="G4" i="10"/>
  <c r="G3" i="10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9" i="1" s="1"/>
  <c r="G3" i="8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29" i="1"/>
  <c r="F28" i="1"/>
  <c r="E28" i="1"/>
  <c r="D28" i="1"/>
  <c r="C28" i="1"/>
  <c r="F27" i="1"/>
  <c r="E27" i="1"/>
  <c r="D27" i="1"/>
  <c r="C27" i="1"/>
  <c r="G26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F29" i="1" s="1"/>
  <c r="E3" i="1"/>
  <c r="D3" i="1"/>
  <c r="C3" i="1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D29" i="1" l="1"/>
  <c r="G4" i="1"/>
  <c r="G20" i="1"/>
  <c r="G10" i="1"/>
  <c r="G21" i="1"/>
  <c r="G6" i="1"/>
  <c r="G25" i="1"/>
  <c r="G18" i="1"/>
  <c r="G14" i="1"/>
  <c r="G22" i="1"/>
  <c r="G19" i="1"/>
  <c r="G3" i="1"/>
  <c r="G17" i="1"/>
  <c r="G15" i="1"/>
  <c r="G7" i="1"/>
  <c r="G5" i="1"/>
  <c r="G16" i="1"/>
  <c r="G13" i="1"/>
  <c r="E29" i="1"/>
  <c r="G8" i="1"/>
  <c r="C29" i="1"/>
  <c r="G29" i="1" l="1"/>
</calcChain>
</file>

<file path=xl/sharedStrings.xml><?xml version="1.0" encoding="utf-8"?>
<sst xmlns="http://schemas.openxmlformats.org/spreadsheetml/2006/main" count="1860" uniqueCount="749">
  <si>
    <t>DRAFT 23</t>
  </si>
  <si>
    <t>Nº</t>
  </si>
  <si>
    <t>Jugador / Cromo</t>
  </si>
  <si>
    <t>Tengo</t>
  </si>
  <si>
    <t>Pedir</t>
  </si>
  <si>
    <t>Repetidos</t>
  </si>
  <si>
    <t>Enviados</t>
  </si>
  <si>
    <t>Disponibles</t>
  </si>
  <si>
    <t>1</t>
  </si>
  <si>
    <t>Asencio (Real Madrid)</t>
  </si>
  <si>
    <t>2</t>
  </si>
  <si>
    <t>Balde (FC Barcelona)</t>
  </si>
  <si>
    <t>3</t>
  </si>
  <si>
    <t>Barrios (Atlético de Madrid)</t>
  </si>
  <si>
    <t>4</t>
  </si>
  <si>
    <t>Carlos Espí (Levante UD)</t>
  </si>
  <si>
    <t>X</t>
  </si>
  <si>
    <t>5</t>
  </si>
  <si>
    <t>Carreras (Real Madrid)</t>
  </si>
  <si>
    <t>6</t>
  </si>
  <si>
    <t>Cubarsí (FC Barcelona)</t>
  </si>
  <si>
    <t>7</t>
  </si>
  <si>
    <t>Fer López (RC Celta)</t>
  </si>
  <si>
    <t>8</t>
  </si>
  <si>
    <t>Gavi (FC Barcelona)</t>
  </si>
  <si>
    <t>9</t>
  </si>
  <si>
    <t>Gonzalo (Real Madrid)</t>
  </si>
  <si>
    <t>10</t>
  </si>
  <si>
    <t>Huijsen (Real Madrid)</t>
  </si>
  <si>
    <t>11</t>
  </si>
  <si>
    <t>Jauregizar (Athletic Club)</t>
  </si>
  <si>
    <t>12</t>
  </si>
  <si>
    <t>Javi Guerra (Valencia CF)</t>
  </si>
  <si>
    <t>13</t>
  </si>
  <si>
    <t>Jon Martín (Real Sociedad)</t>
  </si>
  <si>
    <t>14</t>
  </si>
  <si>
    <t>Juanlu (Sevilla FC)</t>
  </si>
  <si>
    <t>15</t>
  </si>
  <si>
    <t>Marc Bernal (FC Barcelona)</t>
  </si>
  <si>
    <t>16</t>
  </si>
  <si>
    <t>Mastantuono (Real Madrid)</t>
  </si>
  <si>
    <t>17</t>
  </si>
  <si>
    <t>Oso (Sevilla FC)</t>
  </si>
  <si>
    <t>18</t>
  </si>
  <si>
    <t>Pau Navarro (Villarreal CF)</t>
  </si>
  <si>
    <t>19</t>
  </si>
  <si>
    <t>Pubill (Atlético de Madrid)</t>
  </si>
  <si>
    <t>20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</si>
  <si>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</si>
  <si>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</si>
  <si>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</si>
  <si>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</si>
  <si>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</si>
  <si>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</si>
  <si>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</si>
  <si>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</si>
  <si>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</si>
  <si>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</si>
  <si>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</si>
  <si>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</si>
  <si>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</si>
  <si>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ATLÉTICO DE MADRID</t>
  </si>
  <si>
    <t>FC BARCELONA</t>
  </si>
  <si>
    <t>REAL BETIS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</si>
  <si>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</si>
  <si>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</si>
  <si>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</si>
  <si>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</si>
  <si>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</si>
  <si>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</si>
  <si>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</si>
  <si>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</si>
  <si>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</si>
  <si>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</si>
  <si>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</si>
  <si>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</si>
  <si>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</si>
  <si>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</si>
  <si>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</si>
  <si>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ADN - LALIGA PRIME</t>
  </si>
  <si>
    <t>LALIGA FANTASY</t>
  </si>
  <si>
    <t>DRAFT 23 KROMIX</t>
  </si>
  <si>
    <t>EXTRA STICKERS</t>
  </si>
  <si>
    <t>CHICLE LIGA 2627</t>
  </si>
  <si>
    <t>TOTAL</t>
  </si>
  <si>
    <t>📝 Pon X en "Tengo" cuando tengas el cromo. Vacío = falta. X en "Pedir" = necesitas conseguirlo. "Disponibles" se calcula solo (Repetidos − Enviados).</t>
  </si>
  <si>
    <t>Escudo</t>
  </si>
  <si>
    <t>Quique Sánchez Flores (entrenador)</t>
  </si>
  <si>
    <t>Sivera (portero)</t>
  </si>
  <si>
    <t>Jonny</t>
  </si>
  <si>
    <t>Koski</t>
  </si>
  <si>
    <t>Tenaglia</t>
  </si>
  <si>
    <t>Parada</t>
  </si>
  <si>
    <t>Yusi</t>
  </si>
  <si>
    <t>Benavidez</t>
  </si>
  <si>
    <t>Blanco</t>
  </si>
  <si>
    <t>Guevara</t>
  </si>
  <si>
    <t>Aleñá</t>
  </si>
  <si>
    <t>Pablo Ibáñez</t>
  </si>
  <si>
    <t>Denis Suárez</t>
  </si>
  <si>
    <t>Ángel Pérez</t>
  </si>
  <si>
    <t>18A</t>
  </si>
  <si>
    <t>Abde</t>
  </si>
  <si>
    <t>18B</t>
  </si>
  <si>
    <t>Mañas</t>
  </si>
  <si>
    <t>Toni Martínez</t>
  </si>
  <si>
    <t>Boyé</t>
  </si>
  <si>
    <t>Edin Terzić (entrenador)</t>
  </si>
  <si>
    <t>Unai Simón (portero)</t>
  </si>
  <si>
    <t>Padilla (portero)</t>
  </si>
  <si>
    <t>Areso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</si>
  <si>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</si>
  <si>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</si>
  <si>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</si>
  <si>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</si>
  <si>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</si>
  <si>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</si>
  <si>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</si>
  <si>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</si>
  <si>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</si>
  <si>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</t>
  </si>
  <si>
    <t>Jauregizar</t>
  </si>
  <si>
    <t>Ruiz de Galarreta</t>
  </si>
  <si>
    <t>Rego</t>
  </si>
  <si>
    <t>Unai Gómez</t>
  </si>
  <si>
    <t>Sancet</t>
  </si>
  <si>
    <t>Nico Serrano</t>
  </si>
  <si>
    <t>Berenguer</t>
  </si>
  <si>
    <t>17A</t>
  </si>
  <si>
    <t>Robert Navarro</t>
  </si>
  <si>
    <t>17B</t>
  </si>
  <si>
    <t>Maroan</t>
  </si>
  <si>
    <t>Nico Williams</t>
  </si>
  <si>
    <t>Williams</t>
  </si>
  <si>
    <t>Guruzeta</t>
  </si>
  <si>
    <t>Diego Pablo Simeone (entrenador)</t>
  </si>
  <si>
    <t>Oblak (portero)</t>
  </si>
  <si>
    <t>Musso (portero)</t>
  </si>
  <si>
    <t>Marcos Llorente</t>
  </si>
  <si>
    <t>Nahuel Molina</t>
  </si>
  <si>
    <t>Pubill</t>
  </si>
  <si>
    <t>8A</t>
  </si>
  <si>
    <t>Le Normand</t>
  </si>
  <si>
    <t>8B</t>
  </si>
  <si>
    <t>Giménez</t>
  </si>
  <si>
    <t>Hancko</t>
  </si>
  <si>
    <t>Ruggeri</t>
  </si>
  <si>
    <t>Koke</t>
  </si>
  <si>
    <t>Barrios</t>
  </si>
  <si>
    <t>Johnny Cardoso</t>
  </si>
  <si>
    <t>14A</t>
  </si>
  <si>
    <t>Rodri Mendoza</t>
  </si>
  <si>
    <t>14B</t>
  </si>
  <si>
    <t>Obed Vargas</t>
  </si>
  <si>
    <t>Álex Baena</t>
  </si>
  <si>
    <t>Almada</t>
  </si>
  <si>
    <t>Giuliano</t>
  </si>
  <si>
    <t>Lookman</t>
  </si>
  <si>
    <t>Sørloth</t>
  </si>
  <si>
    <t>Julián Álvarez</t>
  </si>
  <si>
    <t>Hansi Flick (entrenador)</t>
  </si>
  <si>
    <t>Joan García (portero)</t>
  </si>
  <si>
    <t>Szczęsny (portero)</t>
  </si>
  <si>
    <t>Koundé</t>
  </si>
  <si>
    <t>Araujo</t>
  </si>
  <si>
    <t>Christensen</t>
  </si>
  <si>
    <t>Cubarsí</t>
  </si>
  <si>
    <t>Gerard Martín</t>
  </si>
  <si>
    <t>João Cancelo</t>
  </si>
  <si>
    <t>Balde</t>
  </si>
  <si>
    <t>Eric García</t>
  </si>
  <si>
    <t>De Jong</t>
  </si>
  <si>
    <t>Gavi</t>
  </si>
  <si>
    <t>Bernal</t>
  </si>
  <si>
    <t>Pedri</t>
  </si>
  <si>
    <t>Fermín</t>
  </si>
  <si>
    <t>Dani Olmo</t>
  </si>
  <si>
    <t>Ferran Torres</t>
  </si>
  <si>
    <t>Raphinha</t>
  </si>
  <si>
    <t>Lamine Yamal</t>
  </si>
  <si>
    <t>Manuel Pellegrini (entrenador)</t>
  </si>
  <si>
    <t>Valles (portero)</t>
  </si>
  <si>
    <t>5A</t>
  </si>
  <si>
    <t>Aitor Ruibal</t>
  </si>
  <si>
    <t>5B</t>
  </si>
  <si>
    <t>Bellerín</t>
  </si>
  <si>
    <t>Diego Llorente</t>
  </si>
  <si>
    <t>Bartra</t>
  </si>
  <si>
    <t>Natan</t>
  </si>
  <si>
    <t>Valentín Gómez</t>
  </si>
  <si>
    <t>Marc Roca</t>
  </si>
  <si>
    <t>Amrabat</t>
  </si>
  <si>
    <t>Fidalgo</t>
  </si>
  <si>
    <t>Lo Celso</t>
  </si>
  <si>
    <t>Pablo Fornals</t>
  </si>
  <si>
    <t>Isco</t>
  </si>
  <si>
    <t>Riquelme</t>
  </si>
  <si>
    <t>Antony</t>
  </si>
  <si>
    <t>Cucho Hernández</t>
  </si>
  <si>
    <t>Claudio Giráldez (entrenador)</t>
  </si>
  <si>
    <t>Radu (portero)</t>
  </si>
  <si>
    <t>Iván Villar (portero)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</si>
  <si>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</si>
  <si>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</si>
  <si>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</si>
  <si>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</si>
  <si>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</si>
  <si>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</si>
  <si>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</si>
  <si>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</si>
  <si>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</si>
  <si>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</si>
  <si>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</t>
  </si>
  <si>
    <t>Fer López</t>
  </si>
  <si>
    <t>Swedberg</t>
  </si>
  <si>
    <t>Iago Aspas</t>
  </si>
  <si>
    <t>Pablo Durán</t>
  </si>
  <si>
    <t>El-Abdellaoui</t>
  </si>
  <si>
    <t>Jutglà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</si>
  <si>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</si>
  <si>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</si>
  <si>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</si>
  <si>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</si>
  <si>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</si>
  <si>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</si>
  <si>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</si>
  <si>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</si>
  <si>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</si>
  <si>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</si>
  <si>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</si>
  <si>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</si>
  <si>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</si>
  <si>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</si>
  <si>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</si>
  <si>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Luismi Cruz</t>
  </si>
  <si>
    <t>Mella</t>
  </si>
  <si>
    <t>Yeremay</t>
  </si>
  <si>
    <t>Eddahchouri</t>
  </si>
  <si>
    <t>Nsongo</t>
  </si>
  <si>
    <t>Dituro (portero)</t>
  </si>
  <si>
    <t>Pétrot</t>
  </si>
  <si>
    <t>Chust</t>
  </si>
  <si>
    <t>Bigas</t>
  </si>
  <si>
    <t>Affengruber</t>
  </si>
  <si>
    <t>Pedrosa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</si>
  <si>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</si>
  <si>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</si>
  <si>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</si>
  <si>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</si>
  <si>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</si>
  <si>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</si>
  <si>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</si>
  <si>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</t>
  </si>
  <si>
    <t>Marc Aguado</t>
  </si>
  <si>
    <t>Josan</t>
  </si>
  <si>
    <t>Morente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</si>
  <si>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</si>
  <si>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</si>
  <si>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</si>
  <si>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</si>
  <si>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</si>
  <si>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</si>
  <si>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</si>
  <si>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</t>
  </si>
  <si>
    <t>Riedel</t>
  </si>
  <si>
    <t>Cabrera</t>
  </si>
  <si>
    <t>Miguel Rubio</t>
  </si>
  <si>
    <t>Pol Lozano</t>
  </si>
  <si>
    <t>Urko</t>
  </si>
  <si>
    <t>Edu Expósito</t>
  </si>
  <si>
    <t>Jofre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</si>
  <si>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</si>
  <si>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</si>
  <si>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</si>
  <si>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</si>
  <si>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</si>
  <si>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</si>
  <si>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</si>
  <si>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</si>
  <si>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</si>
  <si>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</si>
  <si>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</si>
  <si>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</si>
  <si>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</si>
  <si>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</si>
  <si>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</si>
  <si>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</t>
  </si>
  <si>
    <t>Álex Sancris</t>
  </si>
  <si>
    <t>Borja Mayoral</t>
  </si>
  <si>
    <t>Luis Vázquez</t>
  </si>
  <si>
    <t>Satriano</t>
  </si>
  <si>
    <t>Luís Castro (entrenador)</t>
  </si>
  <si>
    <t>Ryan (portero)</t>
  </si>
  <si>
    <t>Pablo Campos (portero)</t>
  </si>
  <si>
    <t>Toljan</t>
  </si>
  <si>
    <t>Elgezabal</t>
  </si>
  <si>
    <t>Dela</t>
  </si>
  <si>
    <t>Manu Sánchez</t>
  </si>
  <si>
    <t>Arriaga</t>
  </si>
  <si>
    <t>Oriol Rey</t>
  </si>
  <si>
    <t>Olasagasti</t>
  </si>
  <si>
    <t>Víctor García</t>
  </si>
  <si>
    <t>Paco Cortés</t>
  </si>
  <si>
    <t>Carlos Álvarez</t>
  </si>
  <si>
    <t>Tunde</t>
  </si>
  <si>
    <t>Brugué</t>
  </si>
  <si>
    <t>Iván Romero</t>
  </si>
  <si>
    <t>Etta Eyong</t>
  </si>
  <si>
    <t>José Mourinho (entrenador)</t>
  </si>
  <si>
    <t>Courtois (portero)</t>
  </si>
  <si>
    <t>Lunin (portero)</t>
  </si>
  <si>
    <t>Trent</t>
  </si>
  <si>
    <t>Militão</t>
  </si>
  <si>
    <t>Asencio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</si>
  <si>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</si>
  <si>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</si>
  <si>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</si>
  <si>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</si>
  <si>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</si>
  <si>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</si>
  <si>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</si>
  <si>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</si>
  <si>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</si>
  <si>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</si>
  <si>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</si>
  <si>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</si>
  <si>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</si>
  <si>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</si>
  <si>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</si>
  <si>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</t>
  </si>
  <si>
    <t>16B</t>
  </si>
  <si>
    <t>Brahim Díaz</t>
  </si>
  <si>
    <t>Gonzalo</t>
  </si>
  <si>
    <t>Rodrygo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</si>
  <si>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</si>
  <si>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</si>
  <si>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</si>
  <si>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</si>
  <si>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</si>
  <si>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</si>
  <si>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</si>
  <si>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Einar Galilea</t>
  </si>
  <si>
    <t>Rafita</t>
  </si>
  <si>
    <t>Izan Merino</t>
  </si>
  <si>
    <t>Dani Lorenzo</t>
  </si>
  <si>
    <t>Rafa Rodríguez</t>
  </si>
  <si>
    <t>Juanpe</t>
  </si>
  <si>
    <t>Dotor</t>
  </si>
  <si>
    <t>Aarón Ochoa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</si>
  <si>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</si>
  <si>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</si>
  <si>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</si>
  <si>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</si>
  <si>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</si>
  <si>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</si>
  <si>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</si>
  <si>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</si>
  <si>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</si>
  <si>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</si>
  <si>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</si>
  <si>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</si>
  <si>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Catena</t>
  </si>
  <si>
    <t>Abel Bretones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</si>
  <si>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</si>
  <si>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</si>
  <si>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</si>
  <si>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</si>
  <si>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</si>
  <si>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</si>
  <si>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</si>
  <si>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</t>
  </si>
  <si>
    <t>Raúl Moro</t>
  </si>
  <si>
    <t>Raúl García</t>
  </si>
  <si>
    <t>Kike Barja</t>
  </si>
  <si>
    <t>Budimir</t>
  </si>
  <si>
    <t>José Alberto López (entrenador)</t>
  </si>
  <si>
    <t>Eriksson (portero)</t>
  </si>
  <si>
    <t>Mantilla</t>
  </si>
  <si>
    <t>Sangalli</t>
  </si>
  <si>
    <t>Facu González</t>
  </si>
  <si>
    <t>Javi Castro</t>
  </si>
  <si>
    <t>Manu Hernando</t>
  </si>
  <si>
    <t>Mario García</t>
  </si>
  <si>
    <t>Jorge Salinas</t>
  </si>
  <si>
    <t>Maguette</t>
  </si>
  <si>
    <t>Gustavo Puerta</t>
  </si>
  <si>
    <t>Íñigo</t>
  </si>
  <si>
    <t>Aldasoro</t>
  </si>
  <si>
    <t>Suleiman</t>
  </si>
  <si>
    <t>Andrés Martín</t>
  </si>
  <si>
    <t>Guliashvili</t>
  </si>
  <si>
    <t>Íñigo Vicente</t>
  </si>
  <si>
    <t>Arana</t>
  </si>
  <si>
    <t>Villalibre</t>
  </si>
  <si>
    <t>Beñat San José (entrenador)</t>
  </si>
  <si>
    <t>Batalla (portero)</t>
  </si>
  <si>
    <t>Cárdenas (portero)</t>
  </si>
  <si>
    <t>Ratiu</t>
  </si>
  <si>
    <t>Balliu</t>
  </si>
  <si>
    <t>Nobel Mendy</t>
  </si>
  <si>
    <t>Lejeune</t>
  </si>
  <si>
    <t>Luiz Felipe</t>
  </si>
  <si>
    <t>Pep Chavarría</t>
  </si>
  <si>
    <t>11A</t>
  </si>
  <si>
    <t>Pedro Díaz</t>
  </si>
  <si>
    <t>11B</t>
  </si>
  <si>
    <t>Nteka</t>
  </si>
  <si>
    <t>Pathé Ciss</t>
  </si>
  <si>
    <t>Óscar Valentín</t>
  </si>
  <si>
    <t>Unai López</t>
  </si>
  <si>
    <t>Isi</t>
  </si>
  <si>
    <t>De Frutos</t>
  </si>
  <si>
    <t>Fran Pérez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</si>
  <si>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</si>
  <si>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</si>
  <si>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</si>
  <si>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</si>
  <si>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</si>
  <si>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</si>
  <si>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</si>
  <si>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</si>
  <si>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</si>
  <si>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</si>
  <si>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</si>
  <si>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</si>
  <si>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</si>
  <si>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</si>
  <si>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</si>
  <si>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Carlos Soler</t>
  </si>
  <si>
    <t>Sučić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</si>
  <si>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</si>
  <si>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</si>
  <si>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</si>
  <si>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</si>
  <si>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</si>
  <si>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</si>
  <si>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</si>
  <si>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Carmona</t>
  </si>
  <si>
    <t>Juanlu</t>
  </si>
  <si>
    <t>Kike Salas</t>
  </si>
  <si>
    <t>Nianzou</t>
  </si>
  <si>
    <t>Castrín</t>
  </si>
  <si>
    <t>Marcão</t>
  </si>
  <si>
    <t>Suazo</t>
  </si>
  <si>
    <t>Oso</t>
  </si>
  <si>
    <t>Agoumé</t>
  </si>
  <si>
    <t>Sow</t>
  </si>
  <si>
    <t>Vargas</t>
  </si>
  <si>
    <t>Manu Bueno</t>
  </si>
  <si>
    <t>Peque</t>
  </si>
  <si>
    <t>Ejuke</t>
  </si>
  <si>
    <t>Akor Adams</t>
  </si>
  <si>
    <t>Isaac Romero</t>
  </si>
  <si>
    <t>Carlos Corberán (entrenador)</t>
  </si>
  <si>
    <t>Dimitrievski (portero)</t>
  </si>
  <si>
    <t>Rivero (portero)</t>
  </si>
  <si>
    <t>Foulquier</t>
  </si>
  <si>
    <t>Copete</t>
  </si>
  <si>
    <t>Tárrega</t>
  </si>
  <si>
    <t>Cömert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</si>
  <si>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</si>
  <si>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</si>
  <si>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</si>
  <si>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</si>
  <si>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</si>
  <si>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</si>
  <si>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</si>
  <si>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</si>
  <si>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</t>
  </si>
  <si>
    <t>Hugo Duro</t>
  </si>
  <si>
    <t>Diego López</t>
  </si>
  <si>
    <t>Ramazani</t>
  </si>
  <si>
    <t>20A</t>
  </si>
  <si>
    <t>Sadiq</t>
  </si>
  <si>
    <t>20B</t>
  </si>
  <si>
    <t>Lucas Beltrán</t>
  </si>
  <si>
    <t>Íñigo Pérez (entrenador)</t>
  </si>
  <si>
    <t>Luiz Júnior (portero)</t>
  </si>
  <si>
    <t>Arnau Tenas (portero)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</si>
  <si>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</si>
  <si>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</si>
  <si>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</si>
  <si>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</si>
  <si>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</si>
  <si>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</si>
  <si>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</si>
  <si>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</si>
  <si>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</si>
  <si>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</si>
  <si>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</si>
  <si>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</si>
  <si>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</si>
  <si>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</si>
  <si>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</si>
  <si>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</si>
  <si>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</si>
  <si>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Ayoze</t>
  </si>
  <si>
    <t>Pépé</t>
  </si>
  <si>
    <t>Mikautadze</t>
  </si>
  <si>
    <t>Gerard Moreno</t>
  </si>
  <si>
    <t>Antony (Real Betis)</t>
  </si>
  <si>
    <t>Bellingham (Real Madrid)</t>
  </si>
  <si>
    <t>Courtois (Real Madrid)</t>
  </si>
  <si>
    <t>Fermín (FC Barcelona)</t>
  </si>
  <si>
    <t>Julián Álvarez (Atlético de Madrid)</t>
  </si>
  <si>
    <t>Lamine Yamal (FC Barcelona)</t>
  </si>
  <si>
    <t>Lookman (Atlético de Madrid)</t>
  </si>
  <si>
    <t>Mbappé (Real Madrid)</t>
  </si>
  <si>
    <t>Moleiro (Villarreal CF)</t>
  </si>
  <si>
    <t>Nico Williams (Athletic Club)</t>
  </si>
  <si>
    <t>Oyarzabal (Real Sociedad)</t>
  </si>
  <si>
    <t>Pedri (FC Barcelona)</t>
  </si>
  <si>
    <t>Raphinha (FC Barcelona)</t>
  </si>
  <si>
    <t>Unai Simón (Athletic Club)</t>
  </si>
  <si>
    <t>Vinícius (Real Madrid)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</si>
  <si>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</si>
  <si>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</si>
  <si>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</si>
  <si>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</si>
  <si>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</si>
  <si>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</si>
  <si>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</si>
  <si>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</si>
  <si>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</si>
  <si>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</si>
  <si>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</si>
  <si>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</si>
  <si>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</si>
  <si>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</si>
  <si>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</si>
  <si>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</si>
  <si>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</si>
  <si>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</si>
  <si>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</si>
  <si>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</si>
  <si>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</si>
  <si>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</si>
  <si>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</si>
  <si>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</si>
  <si>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</si>
  <si>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</si>
  <si>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</si>
  <si>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</si>
  <si>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</si>
  <si>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</si>
  <si>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</si>
  <si>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</si>
  <si>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</si>
  <si>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</si>
  <si>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</si>
  <si>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</si>
  <si>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</si>
  <si>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</si>
  <si>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</si>
  <si>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</si>
  <si>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</si>
  <si>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</si>
  <si>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</si>
  <si>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</si>
  <si>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</si>
  <si>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</si>
  <si>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</si>
  <si>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</si>
  <si>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</si>
  <si>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</si>
  <si>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</si>
  <si>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</si>
  <si>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</si>
  <si>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</si>
  <si>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</si>
  <si>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</si>
  <si>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</si>
  <si>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</si>
  <si>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</si>
  <si>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</si>
  <si>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</si>
  <si>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</si>
  <si>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</si>
  <si>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</si>
  <si>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</si>
  <si>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</si>
  <si>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</si>
  <si>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</si>
  <si>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</si>
  <si>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</si>
  <si>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</si>
  <si>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</si>
  <si>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</si>
  <si>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</si>
  <si>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</si>
  <si>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</si>
  <si>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</si>
  <si>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</si>
  <si>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</si>
  <si>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</si>
  <si>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</si>
  <si>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</si>
  <si>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</si>
  <si>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</si>
  <si>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</si>
  <si>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</si>
  <si>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</si>
  <si>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</si>
  <si>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</si>
  <si>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</si>
  <si>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</si>
  <si>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</si>
  <si>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</si>
  <si>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</si>
  <si>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</si>
  <si>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</si>
  <si>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</si>
  <si>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</si>
  <si>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</si>
  <si>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</si>
  <si>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</si>
  <si>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</si>
  <si>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</si>
  <si>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</si>
  <si>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</si>
  <si>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</si>
  <si>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</si>
  <si>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</si>
  <si>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</si>
  <si>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</si>
  <si>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</si>
  <si>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</si>
  <si>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</si>
  <si>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</si>
  <si>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</si>
  <si>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</si>
  <si>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</si>
  <si>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</si>
  <si>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</si>
  <si>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</si>
  <si>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</si>
  <si>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</si>
  <si>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</si>
  <si>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</si>
  <si>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</si>
  <si>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</si>
  <si>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</si>
  <si>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</si>
  <si>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</si>
  <si>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</si>
  <si>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</si>
  <si>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</si>
  <si>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</si>
  <si>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</si>
  <si>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</si>
  <si>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</si>
  <si>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</si>
  <si>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</si>
  <si>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</si>
  <si>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</si>
  <si>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</si>
  <si>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</si>
  <si>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</si>
  <si>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</si>
  <si>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</si>
  <si>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</si>
  <si>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</si>
  <si>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</si>
  <si>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</si>
  <si>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</si>
  <si>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</si>
  <si>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</si>
  <si>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</si>
  <si>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</si>
  <si>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</si>
  <si>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</si>
  <si>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</si>
  <si>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</si>
  <si>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</si>
  <si>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</si>
  <si>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</si>
  <si>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</si>
  <si>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</si>
  <si>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</si>
  <si>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</si>
  <si>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</si>
  <si>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</si>
  <si>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</si>
  <si>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</si>
  <si>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</si>
  <si>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</si>
  <si>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</si>
  <si>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</si>
  <si>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</si>
  <si>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</si>
  <si>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</si>
  <si>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</si>
  <si>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</si>
  <si>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</si>
  <si>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</si>
  <si>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</si>
  <si>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</si>
  <si>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</si>
  <si>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</si>
  <si>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</si>
  <si>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</si>
  <si>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</si>
  <si>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</si>
  <si>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</si>
  <si>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</si>
  <si>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</si>
  <si>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</si>
  <si>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</si>
  <si>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</si>
  <si>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</si>
  <si>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</si>
  <si>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</si>
  <si>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</si>
  <si>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</si>
  <si>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</si>
  <si>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</si>
  <si>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</si>
  <si>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</si>
  <si>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</si>
  <si>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</si>
  <si>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</si>
  <si>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</si>
  <si>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</si>
  <si>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</si>
  <si>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</si>
  <si>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</si>
  <si>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</si>
  <si>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</si>
  <si>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</si>
  <si>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</si>
  <si>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</si>
  <si>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</si>
  <si>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</si>
  <si>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</si>
  <si>
    <t>Diego Conde</t>
  </si>
  <si>
    <t>Facundo Bernal</t>
  </si>
  <si>
    <t>Martin Anselmi (entrenador)</t>
  </si>
  <si>
    <t>Iturbe</t>
  </si>
  <si>
    <t>Ali Houary</t>
  </si>
  <si>
    <t>Hartman</t>
  </si>
  <si>
    <t>Marcos Fernandez</t>
  </si>
  <si>
    <t>Terrats</t>
  </si>
  <si>
    <t>Juanmi</t>
  </si>
  <si>
    <t>Mandi</t>
  </si>
  <si>
    <t>Dani Requena</t>
  </si>
  <si>
    <t>Musuayi</t>
  </si>
  <si>
    <t>Calero</t>
  </si>
  <si>
    <t>Salinas</t>
  </si>
  <si>
    <t>Guridi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</si>
</sst>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i/>
      <sz val="9"/>
      <color rgb="FF555555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888888"/>
      <name val="Arial"/>
    </font>
    <font>
      <sz val="9"/>
      <name val="Arial"/>
      <family val="2"/>
    </font>
    <font>
      <sz val="9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8" fillId="36" borderId="2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left" vertical="center"/>
    </xf>
    <xf numFmtId="0" fontId="13" fillId="37" borderId="2" xfId="0" applyFont="1" applyFill="1" applyBorder="1" applyAlignment="1">
      <alignment horizontal="center" vertical="center"/>
    </xf>
    <xf numFmtId="0" fontId="13" fillId="38" borderId="2" xfId="0" applyFont="1" applyFill="1" applyBorder="1" applyAlignment="1">
      <alignment horizontal="center" vertical="center"/>
    </xf>
    <xf numFmtId="0" fontId="13" fillId="39" borderId="2" xfId="0" applyFont="1" applyFill="1" applyBorder="1" applyAlignment="1">
      <alignment horizontal="center" vertical="center"/>
    </xf>
    <xf numFmtId="0" fontId="13" fillId="40" borderId="2" xfId="0" applyFont="1" applyFill="1" applyBorder="1" applyAlignment="1">
      <alignment horizontal="center" vertical="center"/>
    </xf>
    <xf numFmtId="0" fontId="8" fillId="41" borderId="2" xfId="0" applyFont="1" applyFill="1" applyBorder="1" applyAlignment="1">
      <alignment horizontal="center" vertical="center"/>
    </xf>
    <xf numFmtId="0" fontId="8" fillId="42" borderId="2" xfId="0" applyFont="1" applyFill="1" applyBorder="1" applyAlignment="1">
      <alignment horizontal="center" vertical="center"/>
    </xf>
    <xf numFmtId="0" fontId="9" fillId="42" borderId="2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10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10" fillId="29" borderId="0" xfId="0" applyFont="1" applyFill="1" applyAlignment="1">
      <alignment horizontal="center" vertical="center"/>
    </xf>
    <xf numFmtId="0" fontId="10" fillId="3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7" fillId="34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14" fillId="38" borderId="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48" t="s">
        <v>55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56</v>
      </c>
      <c r="B2" s="1" t="s">
        <v>57</v>
      </c>
      <c r="C2" s="1" t="s">
        <v>58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" t="s">
        <v>59</v>
      </c>
      <c r="B3" s="3">
        <v>19</v>
      </c>
      <c r="C3" s="4">
        <f>COUNTIF('D. ALAVÉS'!C3:C21,"")</f>
        <v>10</v>
      </c>
      <c r="D3" s="5">
        <f>COUNTIF('D. ALAVÉS'!D3:D21,"X")</f>
        <v>6</v>
      </c>
      <c r="E3" s="6">
        <f>SUMIF('D. ALAVÉS'!E3:E21,"&gt;"&amp;0,'D. ALAVÉS'!E3:E21)</f>
        <v>6</v>
      </c>
      <c r="F3" s="7">
        <f>SUM('D. ALAVÉS'!F3:F21)</f>
        <v>0</v>
      </c>
      <c r="G3" s="8">
        <f>SUM('D. ALAVÉS'!G3:G21)</f>
        <v>6</v>
      </c>
    </row>
    <row r="4" spans="1:7" ht="16.05" customHeight="1" x14ac:dyDescent="0.3">
      <c r="A4" s="9" t="s">
        <v>60</v>
      </c>
      <c r="B4" s="10">
        <v>23</v>
      </c>
      <c r="C4" s="4">
        <f>COUNTIF('ATHLETIC CLUB'!C3:C25,"")</f>
        <v>7</v>
      </c>
      <c r="D4" s="5">
        <f>COUNTIF('ATHLETIC CLUB'!D3:D25,"X")</f>
        <v>3</v>
      </c>
      <c r="E4" s="6">
        <f>SUMIF('ATHLETIC CLUB'!E3:E25,"&gt;"&amp;0,'ATHLETIC CLUB'!E3:E25)</f>
        <v>4</v>
      </c>
      <c r="F4" s="7">
        <f>SUM('ATHLETIC CLUB'!F3:F25)</f>
        <v>0</v>
      </c>
      <c r="G4" s="8">
        <f>SUM('ATHLETIC CLUB'!G3:G25)</f>
        <v>4</v>
      </c>
    </row>
    <row r="5" spans="1:7" ht="16.05" customHeight="1" x14ac:dyDescent="0.3">
      <c r="A5" s="2" t="s">
        <v>61</v>
      </c>
      <c r="B5" s="3">
        <v>22</v>
      </c>
      <c r="C5" s="4">
        <f>COUNTIF('ATLÉTICO DE MADRID'!C3:C24,"")</f>
        <v>11</v>
      </c>
      <c r="D5" s="5">
        <f>COUNTIF('ATLÉTICO DE MADRID'!D3:D24,"X")</f>
        <v>6</v>
      </c>
      <c r="E5" s="6">
        <f>SUMIF('ATLÉTICO DE MADRID'!E3:E24,"&gt;"&amp;0,'ATLÉTICO DE MADRID'!E3:E24)</f>
        <v>6</v>
      </c>
      <c r="F5" s="7">
        <f>SUM('ATLÉTICO DE MADRID'!F3:F24)</f>
        <v>0</v>
      </c>
      <c r="G5" s="8">
        <f>SUM('ATLÉTICO DE MADRID'!G3:G24)</f>
        <v>6</v>
      </c>
    </row>
    <row r="6" spans="1:7" ht="16.05" customHeight="1" x14ac:dyDescent="0.3">
      <c r="A6" s="9" t="s">
        <v>62</v>
      </c>
      <c r="B6" s="10">
        <v>21</v>
      </c>
      <c r="C6" s="4">
        <f>COUNTIF('FC BARCELONA'!C3:C23,"")</f>
        <v>7</v>
      </c>
      <c r="D6" s="5">
        <f>COUNTIF('FC BARCELONA'!D3:D23,"X")</f>
        <v>5</v>
      </c>
      <c r="E6" s="6">
        <f>SUMIF('FC BARCELONA'!E3:E23,"&gt;"&amp;0,'FC BARCELONA'!E3:E23)</f>
        <v>7</v>
      </c>
      <c r="F6" s="7">
        <f>SUM('FC BARCELONA'!F3:F23)</f>
        <v>0</v>
      </c>
      <c r="G6" s="8">
        <f>SUM('FC BARCELONA'!G3:G23)</f>
        <v>7</v>
      </c>
    </row>
    <row r="7" spans="1:7" ht="16.05" customHeight="1" x14ac:dyDescent="0.3">
      <c r="A7" s="2" t="s">
        <v>63</v>
      </c>
      <c r="B7" s="3">
        <v>20</v>
      </c>
      <c r="C7" s="4">
        <f>COUNTIF('REAL BETIS'!C3:C22,"")</f>
        <v>9</v>
      </c>
      <c r="D7" s="5">
        <f>COUNTIF('REAL BETIS'!D3:D22,"X")</f>
        <v>7</v>
      </c>
      <c r="E7" s="6">
        <f>SUMIF('REAL BETIS'!E3:E22,"&gt;"&amp;0,'REAL BETIS'!E3:E22)</f>
        <v>6</v>
      </c>
      <c r="F7" s="7">
        <f>SUM('REAL BETIS'!F3:F22)</f>
        <v>0</v>
      </c>
      <c r="G7" s="8">
        <f>SUM('REAL BETIS'!G3:G22)</f>
        <v>6</v>
      </c>
    </row>
    <row r="8" spans="1:7" ht="16.05" customHeight="1" x14ac:dyDescent="0.3">
      <c r="A8" s="9" t="s">
        <v>64</v>
      </c>
      <c r="B8" s="10">
        <v>22</v>
      </c>
      <c r="C8" s="4">
        <f>COUNTIF('RC CELTA DE VIGO'!C3:C24,"")</f>
        <v>12</v>
      </c>
      <c r="D8" s="5">
        <f>COUNTIF('RC CELTA DE VIGO'!D3:D24,"X")</f>
        <v>8</v>
      </c>
      <c r="E8" s="6">
        <f>SUMIF('RC CELTA DE VIGO'!E3:E24,"&gt;"&amp;0,'RC CELTA DE VIGO'!E3:E24)</f>
        <v>8</v>
      </c>
      <c r="F8" s="7">
        <f>SUM('RC CELTA DE VIGO'!F3:F24)</f>
        <v>0</v>
      </c>
      <c r="G8" s="8">
        <f>SUM('RC CELTA DE VIGO'!G3:G24)</f>
        <v>8</v>
      </c>
    </row>
    <row r="9" spans="1:7" ht="16.05" customHeight="1" x14ac:dyDescent="0.3">
      <c r="A9" s="2" t="s">
        <v>65</v>
      </c>
      <c r="B9" s="3">
        <v>20</v>
      </c>
      <c r="C9" s="4">
        <f>COUNTIF('RC DEPORTIVO'!C3:C22,"")</f>
        <v>8</v>
      </c>
      <c r="D9" s="5">
        <f>COUNTIF('RC DEPORTIVO'!D3:D22,"X")</f>
        <v>6</v>
      </c>
      <c r="E9" s="6">
        <f>SUMIF('RC DEPORTIVO'!E3:E22,"&gt;"&amp;0,'RC DEPORTIVO'!E3:E22)</f>
        <v>3</v>
      </c>
      <c r="F9" s="7">
        <f>SUM('RC DEPORTIVO'!F3:F22)</f>
        <v>0</v>
      </c>
      <c r="G9" s="8">
        <f>SUM('RC DEPORTIVO'!G3:G22)</f>
        <v>3</v>
      </c>
    </row>
    <row r="10" spans="1:7" ht="16.05" customHeight="1" x14ac:dyDescent="0.3">
      <c r="A10" s="9" t="s">
        <v>66</v>
      </c>
      <c r="B10" s="10">
        <v>20</v>
      </c>
      <c r="C10" s="4">
        <f>COUNTIF('ELCHE CF'!C3:C22,"")</f>
        <v>9</v>
      </c>
      <c r="D10" s="5">
        <f>COUNTIF('ELCHE CF'!D3:D22,"X")</f>
        <v>5</v>
      </c>
      <c r="E10" s="6">
        <f>SUMIF('ELCHE CF'!E3:E22,"&gt;"&amp;0,'ELCHE CF'!E3:E22)</f>
        <v>6</v>
      </c>
      <c r="F10" s="7">
        <f>SUM('ELCHE CF'!F3:F22)</f>
        <v>0</v>
      </c>
      <c r="G10" s="8">
        <f>SUM('ELCHE CF'!G3:G22)</f>
        <v>6</v>
      </c>
    </row>
    <row r="11" spans="1:7" ht="16.05" customHeight="1" x14ac:dyDescent="0.3">
      <c r="A11" s="2" t="s">
        <v>67</v>
      </c>
      <c r="B11" s="3">
        <v>18</v>
      </c>
      <c r="C11" s="4">
        <f>COUNTIF('RCD ESPANYOL'!C3:C20,"")</f>
        <v>6</v>
      </c>
      <c r="D11" s="5">
        <f>COUNTIF('RCD ESPANYOL'!D3:D20,"X")</f>
        <v>5</v>
      </c>
      <c r="E11" s="6">
        <f>SUMIF('RCD ESPANYOL'!E3:E20,"&gt;"&amp;0,'RCD ESPANYOL'!E3:E20)</f>
        <v>4</v>
      </c>
      <c r="F11" s="7">
        <f>SUM('RCD ESPANYOL'!F3:F20)</f>
        <v>0</v>
      </c>
      <c r="G11" s="8">
        <f>SUM('RCD ESPANYOL'!G3:G20)</f>
        <v>4</v>
      </c>
    </row>
    <row r="12" spans="1:7" ht="16.05" customHeight="1" x14ac:dyDescent="0.3">
      <c r="A12" s="9" t="s">
        <v>68</v>
      </c>
      <c r="B12" s="10">
        <v>16</v>
      </c>
      <c r="C12" s="4">
        <f>COUNTIF('GETAFE CF'!C3:C18,"")</f>
        <v>7</v>
      </c>
      <c r="D12" s="5">
        <f>COUNTIF('GETAFE CF'!D3:D18,"X")</f>
        <v>7</v>
      </c>
      <c r="E12" s="6">
        <f>SUMIF('GETAFE CF'!E3:E18,"&gt;"&amp;0,'GETAFE CF'!E3:E18)</f>
        <v>3</v>
      </c>
      <c r="F12" s="7">
        <f>SUM('GETAFE CF'!F3:F18)</f>
        <v>0</v>
      </c>
      <c r="G12" s="8">
        <f>SUM('GETAFE CF'!G3:G18)</f>
        <v>3</v>
      </c>
    </row>
    <row r="13" spans="1:7" ht="16.05" customHeight="1" x14ac:dyDescent="0.3">
      <c r="A13" s="2" t="s">
        <v>69</v>
      </c>
      <c r="B13" s="3">
        <v>19</v>
      </c>
      <c r="C13" s="4">
        <f>COUNTIF('LEVANTE UD'!C3:C21,"")</f>
        <v>11</v>
      </c>
      <c r="D13" s="5">
        <f>COUNTIF('LEVANTE UD'!D3:D21,"X")</f>
        <v>7</v>
      </c>
      <c r="E13" s="6">
        <f>SUMIF('LEVANTE UD'!E3:E21,"&gt;"&amp;0,'LEVANTE UD'!E3:E21)</f>
        <v>9</v>
      </c>
      <c r="F13" s="7">
        <f>SUM('LEVANTE UD'!F3:F21)</f>
        <v>0</v>
      </c>
      <c r="G13" s="8">
        <f>SUM('LEVANTE UD'!G3:G21)</f>
        <v>9</v>
      </c>
    </row>
    <row r="14" spans="1:7" ht="16.05" customHeight="1" x14ac:dyDescent="0.3">
      <c r="A14" s="9" t="s">
        <v>70</v>
      </c>
      <c r="B14" s="10">
        <v>23</v>
      </c>
      <c r="C14" s="4">
        <f>COUNTIF('REAL MADRID CF'!C3:C25,"")</f>
        <v>8</v>
      </c>
      <c r="D14" s="5">
        <f>COUNTIF('REAL MADRID CF'!D3:D25,"X")</f>
        <v>4</v>
      </c>
      <c r="E14" s="6">
        <f>SUMIF('REAL MADRID CF'!E3:E25,"&gt;"&amp;0,'REAL MADRID CF'!E3:E25)</f>
        <v>15</v>
      </c>
      <c r="F14" s="7">
        <f>SUM('REAL MADRID CF'!F3:F25)</f>
        <v>0</v>
      </c>
      <c r="G14" s="8">
        <f>SUM('REAL MADRID CF'!G3:G25)</f>
        <v>15</v>
      </c>
    </row>
    <row r="15" spans="1:7" ht="16.05" customHeight="1" x14ac:dyDescent="0.3">
      <c r="A15" s="2" t="s">
        <v>71</v>
      </c>
      <c r="B15" s="3">
        <v>19</v>
      </c>
      <c r="C15" s="4">
        <f>COUNTIF('MÁLAGA CF'!C3:C21,"")</f>
        <v>7</v>
      </c>
      <c r="D15" s="5">
        <f>COUNTIF('MÁLAGA CF'!D3:D21,"X")</f>
        <v>6</v>
      </c>
      <c r="E15" s="6">
        <f>SUMIF('MÁLAGA CF'!E3:E21,"&gt;"&amp;0,'MÁLAGA CF'!E3:E21)</f>
        <v>4</v>
      </c>
      <c r="F15" s="7">
        <f>SUM('MÁLAGA CF'!F3:F21)</f>
        <v>0</v>
      </c>
      <c r="G15" s="8">
        <f>SUM('MÁLAGA CF'!G3:G21)</f>
        <v>4</v>
      </c>
    </row>
    <row r="16" spans="1:7" ht="16.05" customHeight="1" x14ac:dyDescent="0.3">
      <c r="A16" s="9" t="s">
        <v>72</v>
      </c>
      <c r="B16" s="10">
        <v>22</v>
      </c>
      <c r="C16" s="4">
        <f>COUNTIF('CA OSASUNA'!C3:C24,"")</f>
        <v>10</v>
      </c>
      <c r="D16" s="5">
        <f>COUNTIF('CA OSASUNA'!D3:D24,"X")</f>
        <v>7</v>
      </c>
      <c r="E16" s="6">
        <f>SUMIF('CA OSASUNA'!E3:E24,"&gt;"&amp;0,'CA OSASUNA'!E3:E24)</f>
        <v>8</v>
      </c>
      <c r="F16" s="7">
        <f>SUM('CA OSASUNA'!F3:F24)</f>
        <v>0</v>
      </c>
      <c r="G16" s="8">
        <f>SUM('CA OSASUNA'!G3:G24)</f>
        <v>8</v>
      </c>
    </row>
    <row r="17" spans="1:7" ht="16.05" customHeight="1" x14ac:dyDescent="0.3">
      <c r="A17" s="2" t="s">
        <v>73</v>
      </c>
      <c r="B17" s="3">
        <v>20</v>
      </c>
      <c r="C17" s="4">
        <f>COUNTIF('R. RACING CLUB'!C3:C22,"")</f>
        <v>9</v>
      </c>
      <c r="D17" s="5">
        <f>COUNTIF('R. RACING CLUB'!D3:D22,"X")</f>
        <v>5</v>
      </c>
      <c r="E17" s="6">
        <f>SUMIF('R. RACING CLUB'!E3:E22,"&gt;"&amp;0,'R. RACING CLUB'!E3:E22)</f>
        <v>5</v>
      </c>
      <c r="F17" s="7">
        <f>SUM('R. RACING CLUB'!F3:F22)</f>
        <v>0</v>
      </c>
      <c r="G17" s="8">
        <f>SUM('R. RACING CLUB'!G3:G22)</f>
        <v>5</v>
      </c>
    </row>
    <row r="18" spans="1:7" ht="16.05" customHeight="1" x14ac:dyDescent="0.3">
      <c r="A18" s="9" t="s">
        <v>74</v>
      </c>
      <c r="B18" s="10">
        <v>21</v>
      </c>
      <c r="C18" s="4">
        <f>COUNTIF('RAYO VALLECANO'!C3:C23,"")</f>
        <v>12</v>
      </c>
      <c r="D18" s="5">
        <f>COUNTIF('RAYO VALLECANO'!D3:D23,"X")</f>
        <v>9</v>
      </c>
      <c r="E18" s="6">
        <f>SUMIF('RAYO VALLECANO'!E3:E23,"&gt;"&amp;0,'RAYO VALLECANO'!E3:E23)</f>
        <v>5</v>
      </c>
      <c r="F18" s="7">
        <f>SUM('RAYO VALLECANO'!F3:F23)</f>
        <v>0</v>
      </c>
      <c r="G18" s="8">
        <f>SUM('RAYO VALLECANO'!G3:G23)</f>
        <v>5</v>
      </c>
    </row>
    <row r="19" spans="1:7" ht="16.05" customHeight="1" x14ac:dyDescent="0.3">
      <c r="A19" s="2" t="s">
        <v>75</v>
      </c>
      <c r="B19" s="3">
        <v>20</v>
      </c>
      <c r="C19" s="4">
        <f>COUNTIF('REAL SOCIEDAD'!C3:C22,"")</f>
        <v>6</v>
      </c>
      <c r="D19" s="5">
        <f>COUNTIF('REAL SOCIEDAD'!D3:D22,"X")</f>
        <v>5</v>
      </c>
      <c r="E19" s="6">
        <f>SUMIF('REAL SOCIEDAD'!E3:E22,"&gt;"&amp;0,'REAL SOCIEDAD'!E3:E22)</f>
        <v>1</v>
      </c>
      <c r="F19" s="7">
        <f>SUM('REAL SOCIEDAD'!F3:F22)</f>
        <v>0</v>
      </c>
      <c r="G19" s="8">
        <f>SUM('REAL SOCIEDAD'!G3:G22)</f>
        <v>1</v>
      </c>
    </row>
    <row r="20" spans="1:7" ht="16.05" customHeight="1" x14ac:dyDescent="0.3">
      <c r="A20" s="9" t="s">
        <v>76</v>
      </c>
      <c r="B20" s="10">
        <v>19</v>
      </c>
      <c r="C20" s="4">
        <f>COUNTIF('SEVILLA FC'!C3:C21,"")</f>
        <v>11</v>
      </c>
      <c r="D20" s="5">
        <f>COUNTIF('SEVILLA FC'!D3:D21,"X")</f>
        <v>6</v>
      </c>
      <c r="E20" s="6">
        <f>SUMIF('SEVILLA FC'!E3:E21,"&gt;"&amp;0,'SEVILLA FC'!E3:E21)</f>
        <v>5</v>
      </c>
      <c r="F20" s="7">
        <f>SUM('SEVILLA FC'!F3:F21)</f>
        <v>0</v>
      </c>
      <c r="G20" s="8">
        <f>SUM('SEVILLA FC'!G3:G21)</f>
        <v>5</v>
      </c>
    </row>
    <row r="21" spans="1:7" ht="16.05" customHeight="1" x14ac:dyDescent="0.3">
      <c r="A21" s="2" t="s">
        <v>77</v>
      </c>
      <c r="B21" s="3">
        <v>22</v>
      </c>
      <c r="C21" s="4">
        <f>COUNTIF('VALENCIA CF'!C3:C24,"")</f>
        <v>8</v>
      </c>
      <c r="D21" s="5">
        <f>COUNTIF('VALENCIA CF'!D3:D24,"X")</f>
        <v>4</v>
      </c>
      <c r="E21" s="6">
        <f>SUMIF('VALENCIA CF'!E3:E24,"&gt;"&amp;0,'VALENCIA CF'!E3:E24)</f>
        <v>7</v>
      </c>
      <c r="F21" s="7">
        <f>SUM('VALENCIA CF'!F3:F24)</f>
        <v>0</v>
      </c>
      <c r="G21" s="8">
        <f>SUM('VALENCIA CF'!G3:G24)</f>
        <v>7</v>
      </c>
    </row>
    <row r="22" spans="1:7" ht="16.05" customHeight="1" x14ac:dyDescent="0.3">
      <c r="A22" s="9" t="s">
        <v>78</v>
      </c>
      <c r="B22" s="10">
        <v>23</v>
      </c>
      <c r="C22" s="4">
        <f>COUNTIF('VILLARREAL CF'!C3:C25,"")</f>
        <v>12</v>
      </c>
      <c r="D22" s="5">
        <f>COUNTIF('VILLARREAL CF'!D3:D25,"X")</f>
        <v>7</v>
      </c>
      <c r="E22" s="6">
        <f>SUMIF('VILLARREAL CF'!E3:E25,"&gt;"&amp;0,'VILLARREAL CF'!E3:E25)</f>
        <v>8</v>
      </c>
      <c r="F22" s="7">
        <f>SUM('VILLARREAL CF'!F3:F25)</f>
        <v>0</v>
      </c>
      <c r="G22" s="8">
        <f>SUM('VILLARREAL CF'!G3:G25)</f>
        <v>8</v>
      </c>
    </row>
    <row r="23" spans="1:7" ht="16.05" customHeight="1" x14ac:dyDescent="0.3">
      <c r="A23" s="2" t="s">
        <v>79</v>
      </c>
      <c r="B23" s="3">
        <v>15</v>
      </c>
      <c r="C23" s="4">
        <f>COUNTIF('ADN - LALIGA PRIME'!C3:C17,"")</f>
        <v>7</v>
      </c>
      <c r="D23" s="5">
        <f>COUNTIF('ADN - LALIGA PRIME'!D3:D17,"X")</f>
        <v>7</v>
      </c>
      <c r="E23" s="6">
        <f>SUMIF('ADN - LALIGA PRIME'!E3:E17,"&gt;"&amp;0,'ADN - LALIGA PRIME'!E3:E17)</f>
        <v>2</v>
      </c>
      <c r="F23" s="7">
        <f>SUM('ADN - LALIGA PRIME'!F3:F17)</f>
        <v>0</v>
      </c>
      <c r="G23" s="8">
        <f>SUM('ADN - LALIGA PRIME'!G3:G17)</f>
        <v>2</v>
      </c>
    </row>
    <row r="24" spans="1:7" ht="16.05" customHeight="1" x14ac:dyDescent="0.3">
      <c r="A24" s="9" t="s">
        <v>80</v>
      </c>
      <c r="B24" s="10">
        <v>9</v>
      </c>
      <c r="C24" s="4">
        <f>COUNTIF('LALIGA FANTASY'!C3:C11,"")</f>
        <v>4</v>
      </c>
      <c r="D24" s="5">
        <f>COUNTIF('LALIGA FANTASY'!D3:D11,"X")</f>
        <v>4</v>
      </c>
      <c r="E24" s="6">
        <f>SUMIF('LALIGA FANTASY'!E3:E11,"&gt;"&amp;0,'LALIGA FANTASY'!E3:E11)</f>
        <v>0</v>
      </c>
      <c r="F24" s="7">
        <f>SUM('LALIGA FANTASY'!F3:F11)</f>
        <v>0</v>
      </c>
      <c r="G24" s="8">
        <f>SUM('LALIGA FANTASY'!G3:G11)</f>
        <v>0</v>
      </c>
    </row>
    <row r="25" spans="1:7" ht="16.05" customHeight="1" x14ac:dyDescent="0.3">
      <c r="A25" s="2" t="s">
        <v>0</v>
      </c>
      <c r="B25" s="3">
        <v>23</v>
      </c>
      <c r="C25" s="4">
        <f>COUNTIF('DRAFT 23'!C3:C25,"")</f>
        <v>9</v>
      </c>
      <c r="D25" s="5">
        <f>COUNTIF('DRAFT 23'!D3:D25,"X")</f>
        <v>9</v>
      </c>
      <c r="E25" s="6">
        <f>SUMIF('DRAFT 23'!E3:E25,"&gt;"&amp;0,'DRAFT 23'!E3:E25)</f>
        <v>6</v>
      </c>
      <c r="F25" s="7">
        <f>SUM('DRAFT 23'!F3:F25)</f>
        <v>0</v>
      </c>
      <c r="G25" s="8">
        <f>SUM('DRAFT 23'!G3:G25)</f>
        <v>6</v>
      </c>
    </row>
    <row r="26" spans="1:7" ht="16.05" customHeight="1" x14ac:dyDescent="0.3">
      <c r="A26" s="9" t="s">
        <v>81</v>
      </c>
      <c r="B26" s="10">
        <v>23</v>
      </c>
      <c r="C26" s="4">
        <f>COUNTIF('DRAFT 23 KROMIX'!C3:C25,"")</f>
        <v>6</v>
      </c>
      <c r="D26" s="5">
        <f>COUNTIF('DRAFT 23 KROMIX'!D3:D25,"X")</f>
        <v>6</v>
      </c>
      <c r="E26" s="6">
        <f>SUMIF('DRAFT 23 KROMIX'!E3:E25,"&gt;"&amp;0,'DRAFT 23 KROMIX'!E3:E25)</f>
        <v>0</v>
      </c>
      <c r="F26" s="7">
        <f>SUM('DRAFT 23 KROMIX'!F3:F25)</f>
        <v>0</v>
      </c>
      <c r="G26" s="8">
        <f>SUM('DRAFT 23 KROMIX'!G3:G25)</f>
        <v>0</v>
      </c>
    </row>
    <row r="27" spans="1:7" ht="16.05" customHeight="1" x14ac:dyDescent="0.3">
      <c r="A27" s="2" t="s">
        <v>82</v>
      </c>
      <c r="B27" s="3">
        <v>15</v>
      </c>
      <c r="C27" s="4">
        <f>COUNTIF('EXTRA STICKERS'!C3:C17,"")</f>
        <v>13</v>
      </c>
      <c r="D27" s="5">
        <f>COUNTIF('EXTRA STICKERS'!D3:D17,"X")</f>
        <v>0</v>
      </c>
      <c r="E27" s="6">
        <f>SUMIF('EXTRA STICKERS'!E3:E17,"&gt;"&amp;0,'EXTRA STICKERS'!E3:E17)</f>
        <v>0</v>
      </c>
      <c r="F27" s="7">
        <f>SUM('EXTRA STICKERS'!F3:F17)</f>
        <v>0</v>
      </c>
      <c r="G27" s="8">
        <f>SUM('EXTRA STICKERS'!G3:G17)</f>
        <v>0</v>
      </c>
    </row>
    <row r="28" spans="1:7" ht="16.05" customHeight="1" x14ac:dyDescent="0.3">
      <c r="A28" s="9" t="s">
        <v>83</v>
      </c>
      <c r="B28" s="10">
        <v>80</v>
      </c>
      <c r="C28" s="4">
        <f>COUNTIF('CHICLE LIGA 2627'!C3:C82,"")</f>
        <v>80</v>
      </c>
      <c r="D28" s="5">
        <f>COUNTIF('CHICLE LIGA 2627'!D3:D82,"X")</f>
        <v>0</v>
      </c>
      <c r="E28" s="6">
        <f>SUMIF('CHICLE LIGA 2627'!E3:E82,"&gt;"&amp;0,'CHICLE LIGA 2627'!E3:E82)</f>
        <v>0</v>
      </c>
      <c r="F28" s="7">
        <f>SUM('CHICLE LIGA 2627'!F3:F82)</f>
        <v>0</v>
      </c>
      <c r="G28" s="8">
        <f>SUM('CHICLE LIGA 2627'!G3:G82)</f>
        <v>0</v>
      </c>
    </row>
    <row r="29" spans="1:7" ht="22.05" customHeight="1" x14ac:dyDescent="0.3">
      <c r="A29" s="11" t="s">
        <v>84</v>
      </c>
      <c r="B29" s="12">
        <f t="shared" ref="B29:G29" si="0">SUM(B3:B28)</f>
        <v>574</v>
      </c>
      <c r="C29" s="13">
        <f t="shared" si="0"/>
        <v>299</v>
      </c>
      <c r="D29" s="14">
        <f t="shared" si="0"/>
        <v>144</v>
      </c>
      <c r="E29" s="15">
        <f t="shared" si="0"/>
        <v>128</v>
      </c>
      <c r="F29" s="16">
        <f t="shared" si="0"/>
        <v>0</v>
      </c>
      <c r="G29" s="17">
        <f t="shared" si="0"/>
        <v>128</v>
      </c>
    </row>
    <row r="31" spans="1:7" x14ac:dyDescent="0.3">
      <c r="A31" s="47" t="s">
        <v>85</v>
      </c>
      <c r="B31" s="46"/>
      <c r="C31" s="46"/>
      <c r="D31" s="46"/>
      <c r="E31" s="46"/>
      <c r="F31" s="46"/>
      <c r="G31" s="46"/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2" topLeftCell="A3" activePane="bottomLeft" state="frozen"/>
      <selection pane="bottomLeft" activeCell="B13" sqref="B1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9" t="s">
        <v>59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/>
      <c r="D3" s="69" t="s">
        <v>16</v>
      </c>
      <c r="E3" s="31"/>
      <c r="F3" s="32"/>
      <c r="G3" s="24">
        <f t="shared" ref="G3:G23" si="0">MAX(0,IF(E3="",0,E3)-IF(F3="",0,F3))</f>
        <v>0</v>
      </c>
    </row>
    <row r="4" spans="1:7" ht="16.05" customHeight="1" x14ac:dyDescent="0.3">
      <c r="A4" s="33" t="s">
        <v>10</v>
      </c>
      <c r="B4" s="34" t="s">
        <v>87</v>
      </c>
      <c r="C4" s="29"/>
      <c r="D4" s="69" t="s">
        <v>16</v>
      </c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88</v>
      </c>
      <c r="C5" s="29" t="s">
        <v>16</v>
      </c>
      <c r="D5" s="30"/>
      <c r="E5" s="31">
        <v>1</v>
      </c>
      <c r="F5" s="32"/>
      <c r="G5" s="24">
        <f t="shared" si="0"/>
        <v>1</v>
      </c>
    </row>
    <row r="6" spans="1:7" ht="16.05" customHeight="1" x14ac:dyDescent="0.3">
      <c r="A6" s="35" t="s">
        <v>14</v>
      </c>
      <c r="B6" s="36"/>
      <c r="C6" s="37"/>
      <c r="D6" s="38"/>
      <c r="E6" s="39"/>
      <c r="F6" s="40"/>
      <c r="G6" s="41">
        <f t="shared" si="0"/>
        <v>0</v>
      </c>
    </row>
    <row r="7" spans="1:7" ht="16.05" customHeight="1" x14ac:dyDescent="0.3">
      <c r="A7" s="27" t="s">
        <v>17</v>
      </c>
      <c r="B7" s="28" t="s">
        <v>89</v>
      </c>
      <c r="C7" s="29" t="s">
        <v>16</v>
      </c>
      <c r="D7" s="30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90</v>
      </c>
      <c r="C8" s="29" t="s">
        <v>16</v>
      </c>
      <c r="D8" s="30"/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91</v>
      </c>
      <c r="C9" s="29"/>
      <c r="D9" s="69" t="s">
        <v>16</v>
      </c>
      <c r="E9" s="31"/>
      <c r="F9" s="32"/>
      <c r="G9" s="24">
        <f t="shared" si="0"/>
        <v>0</v>
      </c>
    </row>
    <row r="10" spans="1:7" ht="16.05" customHeight="1" x14ac:dyDescent="0.3">
      <c r="A10" s="33" t="s">
        <v>23</v>
      </c>
      <c r="B10" s="34" t="s">
        <v>92</v>
      </c>
      <c r="C10" s="29"/>
      <c r="D10" s="30"/>
      <c r="E10" s="31"/>
      <c r="F10" s="32"/>
      <c r="G10" s="24">
        <f t="shared" si="0"/>
        <v>0</v>
      </c>
    </row>
    <row r="11" spans="1:7" ht="16.05" customHeight="1" x14ac:dyDescent="0.3">
      <c r="A11" s="27" t="s">
        <v>25</v>
      </c>
      <c r="B11" s="28" t="s">
        <v>93</v>
      </c>
      <c r="C11" s="29"/>
      <c r="D11" s="69" t="s">
        <v>16</v>
      </c>
      <c r="E11" s="31"/>
      <c r="F11" s="32"/>
      <c r="G11" s="24">
        <f t="shared" si="0"/>
        <v>0</v>
      </c>
    </row>
    <row r="12" spans="1:7" ht="16.05" customHeight="1" x14ac:dyDescent="0.3">
      <c r="A12" s="35" t="s">
        <v>27</v>
      </c>
      <c r="B12" s="36"/>
      <c r="C12" s="37"/>
      <c r="D12" s="38"/>
      <c r="E12" s="39"/>
      <c r="F12" s="40"/>
      <c r="G12" s="41">
        <f t="shared" si="0"/>
        <v>0</v>
      </c>
    </row>
    <row r="13" spans="1:7" ht="16.05" customHeight="1" x14ac:dyDescent="0.3">
      <c r="A13" s="27" t="s">
        <v>29</v>
      </c>
      <c r="B13" s="28" t="s">
        <v>94</v>
      </c>
      <c r="C13" s="29"/>
      <c r="D13" s="69" t="s">
        <v>16</v>
      </c>
      <c r="E13" s="31"/>
      <c r="F13" s="32"/>
      <c r="G13" s="24">
        <f t="shared" si="0"/>
        <v>0</v>
      </c>
    </row>
    <row r="14" spans="1:7" ht="16.05" customHeight="1" x14ac:dyDescent="0.3">
      <c r="A14" s="33" t="s">
        <v>31</v>
      </c>
      <c r="B14" s="34" t="s">
        <v>95</v>
      </c>
      <c r="C14" s="29" t="s">
        <v>16</v>
      </c>
      <c r="D14" s="30"/>
      <c r="E14" s="31">
        <v>1</v>
      </c>
      <c r="F14" s="32"/>
      <c r="G14" s="24">
        <f t="shared" si="0"/>
        <v>1</v>
      </c>
    </row>
    <row r="15" spans="1:7" ht="16.05" customHeight="1" x14ac:dyDescent="0.3">
      <c r="A15" s="27" t="s">
        <v>33</v>
      </c>
      <c r="B15" s="28" t="s">
        <v>96</v>
      </c>
      <c r="C15" s="29"/>
      <c r="D15" s="69" t="s">
        <v>16</v>
      </c>
      <c r="E15" s="31"/>
      <c r="F15" s="32"/>
      <c r="G15" s="24">
        <f t="shared" si="0"/>
        <v>0</v>
      </c>
    </row>
    <row r="16" spans="1:7" ht="16.05" customHeight="1" x14ac:dyDescent="0.3">
      <c r="A16" s="33" t="s">
        <v>35</v>
      </c>
      <c r="B16" s="34" t="s">
        <v>97</v>
      </c>
      <c r="C16" s="29" t="s">
        <v>16</v>
      </c>
      <c r="D16" s="30"/>
      <c r="E16" s="31"/>
      <c r="F16" s="32"/>
      <c r="G16" s="24">
        <f t="shared" si="0"/>
        <v>0</v>
      </c>
    </row>
    <row r="17" spans="1:7" ht="16.05" customHeight="1" x14ac:dyDescent="0.3">
      <c r="A17" s="27" t="s">
        <v>37</v>
      </c>
      <c r="B17" s="28" t="s">
        <v>98</v>
      </c>
      <c r="C17" s="29" t="s">
        <v>16</v>
      </c>
      <c r="D17" s="30"/>
      <c r="E17" s="31"/>
      <c r="F17" s="32"/>
      <c r="G17" s="24">
        <f t="shared" si="0"/>
        <v>0</v>
      </c>
    </row>
    <row r="18" spans="1:7" ht="16.05" customHeight="1" x14ac:dyDescent="0.3">
      <c r="A18" s="33" t="s">
        <v>39</v>
      </c>
      <c r="B18" s="34" t="s">
        <v>99</v>
      </c>
      <c r="C18" s="29" t="s">
        <v>16</v>
      </c>
      <c r="D18" s="30"/>
      <c r="E18" s="31">
        <v>1</v>
      </c>
      <c r="F18" s="32"/>
      <c r="G18" s="24">
        <f t="shared" si="0"/>
        <v>1</v>
      </c>
    </row>
    <row r="19" spans="1:7" ht="16.05" customHeight="1" x14ac:dyDescent="0.3">
      <c r="A19" s="27" t="s">
        <v>41</v>
      </c>
      <c r="B19" s="28" t="s">
        <v>100</v>
      </c>
      <c r="C19" s="29" t="s">
        <v>16</v>
      </c>
      <c r="D19" s="30"/>
      <c r="E19" s="31">
        <v>2</v>
      </c>
      <c r="F19" s="32"/>
      <c r="G19" s="24">
        <f t="shared" si="0"/>
        <v>2</v>
      </c>
    </row>
    <row r="20" spans="1:7" ht="16.05" customHeight="1" x14ac:dyDescent="0.3">
      <c r="A20" s="33" t="s">
        <v>101</v>
      </c>
      <c r="B20" s="34" t="s">
        <v>102</v>
      </c>
      <c r="C20" s="29"/>
      <c r="D20" s="30"/>
      <c r="E20" s="31">
        <v>1</v>
      </c>
      <c r="F20" s="32"/>
      <c r="G20" s="24">
        <f t="shared" si="0"/>
        <v>1</v>
      </c>
    </row>
    <row r="21" spans="1:7" ht="16.05" customHeight="1" x14ac:dyDescent="0.3">
      <c r="A21" s="27" t="s">
        <v>103</v>
      </c>
      <c r="B21" s="28" t="s">
        <v>104</v>
      </c>
      <c r="C21" s="29" t="s">
        <v>16</v>
      </c>
      <c r="D21" s="30"/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105</v>
      </c>
      <c r="C22" s="29"/>
      <c r="D22" s="69" t="s">
        <v>16</v>
      </c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106</v>
      </c>
      <c r="C23" s="29" t="s">
        <v>16</v>
      </c>
      <c r="D23" s="30"/>
      <c r="E23" s="31">
        <v>1</v>
      </c>
      <c r="F23" s="32"/>
      <c r="G23" s="2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0" t="s">
        <v>60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/>
      <c r="F3" s="23"/>
      <c r="G3" s="24">
        <f t="shared" ref="G3:G25" si="0">MAX(0,IF(E3="",0,E3)-IF(F3="",0,F3))</f>
        <v>0</v>
      </c>
    </row>
    <row r="4" spans="1:7" ht="16.05" customHeight="1" x14ac:dyDescent="0.3">
      <c r="A4" s="25" t="s">
        <v>10</v>
      </c>
      <c r="B4" s="26" t="s">
        <v>107</v>
      </c>
      <c r="C4" s="20" t="s">
        <v>16</v>
      </c>
      <c r="D4" s="21"/>
      <c r="E4" s="22">
        <v>1</v>
      </c>
      <c r="F4" s="23"/>
      <c r="G4" s="24">
        <f t="shared" si="0"/>
        <v>1</v>
      </c>
    </row>
    <row r="5" spans="1:7" ht="16.05" customHeight="1" x14ac:dyDescent="0.3">
      <c r="A5" s="18" t="s">
        <v>12</v>
      </c>
      <c r="B5" s="19" t="s">
        <v>108</v>
      </c>
      <c r="C5" s="20"/>
      <c r="D5" s="21" t="s">
        <v>16</v>
      </c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109</v>
      </c>
      <c r="C6" s="20" t="s">
        <v>16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110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111</v>
      </c>
      <c r="B8" s="26" t="s">
        <v>112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113</v>
      </c>
      <c r="B9" s="19" t="s">
        <v>114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21</v>
      </c>
      <c r="B10" s="26" t="s">
        <v>115</v>
      </c>
      <c r="C10" s="20" t="s">
        <v>16</v>
      </c>
      <c r="D10" s="21"/>
      <c r="E10" s="22">
        <v>1</v>
      </c>
      <c r="F10" s="23"/>
      <c r="G10" s="24">
        <f t="shared" si="0"/>
        <v>1</v>
      </c>
    </row>
    <row r="11" spans="1:7" ht="16.05" customHeight="1" x14ac:dyDescent="0.3">
      <c r="A11" s="18" t="s">
        <v>23</v>
      </c>
      <c r="B11" s="19" t="s">
        <v>116</v>
      </c>
      <c r="C11" s="20" t="s">
        <v>16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117</v>
      </c>
      <c r="B12" s="26" t="s">
        <v>118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119</v>
      </c>
      <c r="B13" s="19" t="s">
        <v>120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27</v>
      </c>
      <c r="B14" s="26" t="s">
        <v>121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29</v>
      </c>
      <c r="B15" s="19" t="s">
        <v>122</v>
      </c>
      <c r="C15" s="20"/>
      <c r="D15" s="21" t="s">
        <v>16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31</v>
      </c>
      <c r="B16" s="26" t="s">
        <v>123</v>
      </c>
      <c r="C16" s="20" t="s">
        <v>16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33</v>
      </c>
      <c r="B17" s="19" t="s">
        <v>124</v>
      </c>
      <c r="C17" s="20"/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35</v>
      </c>
      <c r="B18" s="26" t="s">
        <v>125</v>
      </c>
      <c r="C18" s="20" t="s">
        <v>16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37</v>
      </c>
      <c r="B19" s="19" t="s">
        <v>126</v>
      </c>
      <c r="C19" s="20" t="s">
        <v>16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39</v>
      </c>
      <c r="B20" s="26" t="s">
        <v>127</v>
      </c>
      <c r="C20" s="20" t="s">
        <v>16</v>
      </c>
      <c r="D20" s="21"/>
      <c r="E20" s="22">
        <v>1</v>
      </c>
      <c r="F20" s="23"/>
      <c r="G20" s="24">
        <f t="shared" si="0"/>
        <v>1</v>
      </c>
    </row>
    <row r="21" spans="1:7" ht="16.05" customHeight="1" x14ac:dyDescent="0.3">
      <c r="A21" s="18" t="s">
        <v>128</v>
      </c>
      <c r="B21" s="19" t="s">
        <v>129</v>
      </c>
      <c r="C21" s="20"/>
      <c r="D21" s="21"/>
      <c r="E21" s="22">
        <v>1</v>
      </c>
      <c r="F21" s="23"/>
      <c r="G21" s="24">
        <f t="shared" si="0"/>
        <v>1</v>
      </c>
    </row>
    <row r="22" spans="1:7" ht="16.05" customHeight="1" x14ac:dyDescent="0.3">
      <c r="A22" s="25" t="s">
        <v>130</v>
      </c>
      <c r="B22" s="26" t="s">
        <v>131</v>
      </c>
      <c r="C22" s="20" t="s">
        <v>16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43</v>
      </c>
      <c r="B23" s="19" t="s">
        <v>132</v>
      </c>
      <c r="C23" s="20" t="s">
        <v>16</v>
      </c>
      <c r="D23" s="21"/>
      <c r="E23" s="22"/>
      <c r="F23" s="23"/>
      <c r="G23" s="24">
        <f t="shared" si="0"/>
        <v>0</v>
      </c>
    </row>
    <row r="24" spans="1:7" ht="16.05" customHeight="1" x14ac:dyDescent="0.3">
      <c r="A24" s="25" t="s">
        <v>45</v>
      </c>
      <c r="B24" s="26" t="s">
        <v>133</v>
      </c>
      <c r="C24" s="20"/>
      <c r="D24" s="21" t="s">
        <v>16</v>
      </c>
      <c r="E24" s="22"/>
      <c r="F24" s="23"/>
      <c r="G24" s="24">
        <f t="shared" si="0"/>
        <v>0</v>
      </c>
    </row>
    <row r="25" spans="1:7" ht="16.05" customHeight="1" x14ac:dyDescent="0.3">
      <c r="A25" s="18" t="s">
        <v>47</v>
      </c>
      <c r="B25" s="19" t="s">
        <v>134</v>
      </c>
      <c r="C25" s="20" t="s">
        <v>16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pane ySplit="2" topLeftCell="A3" activePane="bottomLeft" state="frozen"/>
      <selection pane="bottomLeft" activeCell="B11" sqref="B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0" t="s">
        <v>61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/>
      <c r="F3" s="23"/>
      <c r="G3" s="24">
        <f t="shared" ref="G3:G24" si="0">MAX(0,IF(E3="",0,E3)-IF(F3="",0,F3))</f>
        <v>0</v>
      </c>
    </row>
    <row r="4" spans="1:7" ht="16.05" customHeight="1" x14ac:dyDescent="0.3">
      <c r="A4" s="25" t="s">
        <v>10</v>
      </c>
      <c r="B4" s="26" t="s">
        <v>135</v>
      </c>
      <c r="C4" s="20"/>
      <c r="D4" s="21" t="s">
        <v>16</v>
      </c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136</v>
      </c>
      <c r="C5" s="20" t="s">
        <v>16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137</v>
      </c>
      <c r="C6" s="20"/>
      <c r="D6" s="21" t="s">
        <v>16</v>
      </c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138</v>
      </c>
      <c r="C7" s="20"/>
      <c r="D7" s="21" t="s">
        <v>16</v>
      </c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139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140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141</v>
      </c>
      <c r="B10" s="26" t="s">
        <v>142</v>
      </c>
      <c r="C10" s="20" t="s">
        <v>16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143</v>
      </c>
      <c r="B11" s="19" t="s">
        <v>144</v>
      </c>
      <c r="C11" s="20"/>
      <c r="D11" s="21"/>
      <c r="E11" s="22">
        <v>1</v>
      </c>
      <c r="F11" s="23"/>
      <c r="G11" s="24">
        <f t="shared" si="0"/>
        <v>1</v>
      </c>
    </row>
    <row r="12" spans="1:7" ht="16.05" customHeight="1" x14ac:dyDescent="0.3">
      <c r="A12" s="25" t="s">
        <v>25</v>
      </c>
      <c r="B12" s="26" t="s">
        <v>145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27</v>
      </c>
      <c r="B13" s="19" t="s">
        <v>146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29</v>
      </c>
      <c r="B14" s="26" t="s">
        <v>147</v>
      </c>
      <c r="C14" s="20"/>
      <c r="D14" s="21" t="s">
        <v>16</v>
      </c>
      <c r="E14" s="22"/>
      <c r="F14" s="23"/>
      <c r="G14" s="24">
        <f t="shared" si="0"/>
        <v>0</v>
      </c>
    </row>
    <row r="15" spans="1:7" ht="16.05" customHeight="1" x14ac:dyDescent="0.3">
      <c r="A15" s="18" t="s">
        <v>31</v>
      </c>
      <c r="B15" s="19" t="s">
        <v>148</v>
      </c>
      <c r="C15" s="20" t="s">
        <v>16</v>
      </c>
      <c r="D15" s="21"/>
      <c r="E15" s="22">
        <v>1</v>
      </c>
      <c r="F15" s="23"/>
      <c r="G15" s="24">
        <f t="shared" si="0"/>
        <v>1</v>
      </c>
    </row>
    <row r="16" spans="1:7" ht="16.05" customHeight="1" x14ac:dyDescent="0.3">
      <c r="A16" s="25" t="s">
        <v>33</v>
      </c>
      <c r="B16" s="26" t="s">
        <v>149</v>
      </c>
      <c r="C16" s="20" t="s">
        <v>16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150</v>
      </c>
      <c r="B17" s="19" t="s">
        <v>151</v>
      </c>
      <c r="C17" s="20" t="s">
        <v>16</v>
      </c>
      <c r="D17" s="21"/>
      <c r="E17" s="22">
        <v>2</v>
      </c>
      <c r="F17" s="23"/>
      <c r="G17" s="24">
        <f t="shared" si="0"/>
        <v>2</v>
      </c>
    </row>
    <row r="18" spans="1:7" ht="16.05" customHeight="1" x14ac:dyDescent="0.3">
      <c r="A18" s="25" t="s">
        <v>152</v>
      </c>
      <c r="B18" s="26" t="s">
        <v>153</v>
      </c>
      <c r="C18" s="20"/>
      <c r="D18" s="21"/>
      <c r="E18" s="22">
        <v>2</v>
      </c>
      <c r="F18" s="23"/>
      <c r="G18" s="24">
        <f t="shared" si="0"/>
        <v>2</v>
      </c>
    </row>
    <row r="19" spans="1:7" ht="16.05" customHeight="1" x14ac:dyDescent="0.3">
      <c r="A19" s="18" t="s">
        <v>37</v>
      </c>
      <c r="B19" s="19" t="s">
        <v>154</v>
      </c>
      <c r="C19" s="20" t="s">
        <v>16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39</v>
      </c>
      <c r="B20" s="26" t="s">
        <v>155</v>
      </c>
      <c r="C20" s="20"/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41</v>
      </c>
      <c r="B21" s="19" t="s">
        <v>156</v>
      </c>
      <c r="C21" s="20"/>
      <c r="D21" s="21" t="s">
        <v>16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43</v>
      </c>
      <c r="B22" s="26" t="s">
        <v>157</v>
      </c>
      <c r="C22" s="20" t="s">
        <v>16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45</v>
      </c>
      <c r="B23" s="19" t="s">
        <v>158</v>
      </c>
      <c r="C23" s="20"/>
      <c r="D23" s="21" t="s">
        <v>16</v>
      </c>
      <c r="E23" s="22"/>
      <c r="F23" s="23"/>
      <c r="G23" s="24">
        <f t="shared" si="0"/>
        <v>0</v>
      </c>
    </row>
    <row r="24" spans="1:7" ht="16.05" customHeight="1" x14ac:dyDescent="0.3">
      <c r="A24" s="25" t="s">
        <v>47</v>
      </c>
      <c r="B24" s="26" t="s">
        <v>159</v>
      </c>
      <c r="C24" s="20" t="s">
        <v>16</v>
      </c>
      <c r="D24" s="21"/>
      <c r="E24" s="22"/>
      <c r="F24" s="23"/>
      <c r="G2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pane ySplit="2" topLeftCell="A3" activePane="bottomLeft" state="frozen"/>
      <selection pane="bottomLeft" activeCell="B6" sqref="B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1" t="s">
        <v>62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/>
      <c r="F3" s="23"/>
      <c r="G3" s="24">
        <f t="shared" ref="G3:G23" si="0">MAX(0,IF(E3="",0,E3)-IF(F3="",0,F3))</f>
        <v>0</v>
      </c>
    </row>
    <row r="4" spans="1:7" ht="16.05" customHeight="1" x14ac:dyDescent="0.3">
      <c r="A4" s="25" t="s">
        <v>10</v>
      </c>
      <c r="B4" s="26" t="s">
        <v>160</v>
      </c>
      <c r="C4" s="20" t="s">
        <v>16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161</v>
      </c>
      <c r="C5" s="20" t="s">
        <v>16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162</v>
      </c>
      <c r="C6" s="20"/>
      <c r="D6" s="21" t="s">
        <v>16</v>
      </c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163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111</v>
      </c>
      <c r="B8" s="26" t="s">
        <v>164</v>
      </c>
      <c r="C8" s="20"/>
      <c r="D8" s="21"/>
      <c r="E8" s="22">
        <v>1</v>
      </c>
      <c r="F8" s="23"/>
      <c r="G8" s="24">
        <f t="shared" si="0"/>
        <v>1</v>
      </c>
    </row>
    <row r="9" spans="1:7" ht="16.05" customHeight="1" x14ac:dyDescent="0.3">
      <c r="A9" s="18" t="s">
        <v>113</v>
      </c>
      <c r="B9" s="19" t="s">
        <v>165</v>
      </c>
      <c r="C9" s="20"/>
      <c r="D9" s="21" t="s">
        <v>16</v>
      </c>
      <c r="E9" s="22"/>
      <c r="F9" s="23"/>
      <c r="G9" s="24">
        <f t="shared" si="0"/>
        <v>0</v>
      </c>
    </row>
    <row r="10" spans="1:7" ht="16.05" customHeight="1" x14ac:dyDescent="0.3">
      <c r="A10" s="25" t="s">
        <v>21</v>
      </c>
      <c r="B10" s="26" t="s">
        <v>166</v>
      </c>
      <c r="C10" s="20" t="s">
        <v>16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23</v>
      </c>
      <c r="B11" s="19" t="s">
        <v>167</v>
      </c>
      <c r="C11" s="20"/>
      <c r="D11" s="21" t="s">
        <v>16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25</v>
      </c>
      <c r="B12" s="26" t="s">
        <v>168</v>
      </c>
      <c r="C12" s="20"/>
      <c r="D12" s="21" t="s">
        <v>16</v>
      </c>
      <c r="E12" s="22"/>
      <c r="F12" s="23"/>
      <c r="G12" s="24">
        <f t="shared" si="0"/>
        <v>0</v>
      </c>
    </row>
    <row r="13" spans="1:7" ht="16.05" customHeight="1" x14ac:dyDescent="0.3">
      <c r="A13" s="18" t="s">
        <v>27</v>
      </c>
      <c r="B13" s="19" t="s">
        <v>169</v>
      </c>
      <c r="C13" s="20" t="s">
        <v>16</v>
      </c>
      <c r="D13" s="21"/>
      <c r="E13" s="22">
        <v>1</v>
      </c>
      <c r="F13" s="23"/>
      <c r="G13" s="24">
        <f t="shared" si="0"/>
        <v>1</v>
      </c>
    </row>
    <row r="14" spans="1:7" ht="16.05" customHeight="1" x14ac:dyDescent="0.3">
      <c r="A14" s="25" t="s">
        <v>29</v>
      </c>
      <c r="B14" s="26" t="s">
        <v>170</v>
      </c>
      <c r="C14" s="20" t="s">
        <v>16</v>
      </c>
      <c r="D14" s="21"/>
      <c r="E14" s="22">
        <v>2</v>
      </c>
      <c r="F14" s="23"/>
      <c r="G14" s="24">
        <f t="shared" si="0"/>
        <v>2</v>
      </c>
    </row>
    <row r="15" spans="1:7" ht="16.05" customHeight="1" x14ac:dyDescent="0.3">
      <c r="A15" s="18" t="s">
        <v>31</v>
      </c>
      <c r="B15" s="19" t="s">
        <v>171</v>
      </c>
      <c r="C15" s="20" t="s">
        <v>16</v>
      </c>
      <c r="D15" s="21"/>
      <c r="E15" s="22">
        <v>1</v>
      </c>
      <c r="F15" s="23"/>
      <c r="G15" s="24">
        <f t="shared" si="0"/>
        <v>1</v>
      </c>
    </row>
    <row r="16" spans="1:7" ht="16.05" customHeight="1" x14ac:dyDescent="0.3">
      <c r="A16" s="25" t="s">
        <v>33</v>
      </c>
      <c r="B16" s="26" t="s">
        <v>172</v>
      </c>
      <c r="C16" s="20" t="s">
        <v>16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35</v>
      </c>
      <c r="B17" s="19" t="s">
        <v>173</v>
      </c>
      <c r="C17" s="20" t="s">
        <v>16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37</v>
      </c>
      <c r="B18" s="26" t="s">
        <v>174</v>
      </c>
      <c r="C18" s="20"/>
      <c r="D18" s="21" t="s">
        <v>16</v>
      </c>
      <c r="E18" s="22"/>
      <c r="F18" s="23"/>
      <c r="G18" s="24">
        <f t="shared" si="0"/>
        <v>0</v>
      </c>
    </row>
    <row r="19" spans="1:7" ht="16.05" customHeight="1" x14ac:dyDescent="0.3">
      <c r="A19" s="18" t="s">
        <v>39</v>
      </c>
      <c r="B19" s="19" t="s">
        <v>175</v>
      </c>
      <c r="C19" s="20" t="s">
        <v>16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41</v>
      </c>
      <c r="B20" s="26" t="s">
        <v>176</v>
      </c>
      <c r="C20" s="20" t="s">
        <v>16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43</v>
      </c>
      <c r="B21" s="19" t="s">
        <v>177</v>
      </c>
      <c r="C21" s="20"/>
      <c r="D21" s="21"/>
      <c r="E21" s="22">
        <v>2</v>
      </c>
      <c r="F21" s="23"/>
      <c r="G21" s="24">
        <f t="shared" si="0"/>
        <v>2</v>
      </c>
    </row>
    <row r="22" spans="1:7" ht="16.05" customHeight="1" x14ac:dyDescent="0.3">
      <c r="A22" s="25" t="s">
        <v>45</v>
      </c>
      <c r="B22" s="26" t="s">
        <v>178</v>
      </c>
      <c r="C22" s="20" t="s">
        <v>16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47</v>
      </c>
      <c r="B23" s="19" t="s">
        <v>179</v>
      </c>
      <c r="C23" s="20" t="s">
        <v>16</v>
      </c>
      <c r="D23" s="21"/>
      <c r="E23" s="22"/>
      <c r="F23" s="23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2" t="s">
        <v>63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/>
      <c r="D3" s="69" t="s">
        <v>16</v>
      </c>
      <c r="E3" s="31"/>
      <c r="F3" s="32"/>
      <c r="G3" s="24">
        <f t="shared" ref="G3:G23" si="0">MAX(0,IF(E3="",0,E3)-IF(F3="",0,F3))</f>
        <v>0</v>
      </c>
    </row>
    <row r="4" spans="1:7" ht="16.05" customHeight="1" x14ac:dyDescent="0.3">
      <c r="A4" s="33" t="s">
        <v>10</v>
      </c>
      <c r="B4" s="34" t="s">
        <v>180</v>
      </c>
      <c r="C4" s="29"/>
      <c r="D4" s="69" t="s">
        <v>16</v>
      </c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181</v>
      </c>
      <c r="C5" s="29"/>
      <c r="D5" s="69" t="s">
        <v>16</v>
      </c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734</v>
      </c>
      <c r="C6" s="29"/>
      <c r="D6" s="69" t="s">
        <v>16</v>
      </c>
      <c r="E6" s="31"/>
      <c r="F6" s="32"/>
      <c r="G6" s="24">
        <f t="shared" si="0"/>
        <v>0</v>
      </c>
    </row>
    <row r="7" spans="1:7" ht="16.05" customHeight="1" x14ac:dyDescent="0.3">
      <c r="A7" s="27" t="s">
        <v>182</v>
      </c>
      <c r="B7" s="28" t="s">
        <v>183</v>
      </c>
      <c r="C7" s="29"/>
      <c r="D7" s="30"/>
      <c r="E7" s="31"/>
      <c r="F7" s="32"/>
      <c r="G7" s="24">
        <f t="shared" si="0"/>
        <v>0</v>
      </c>
    </row>
    <row r="8" spans="1:7" ht="16.05" customHeight="1" x14ac:dyDescent="0.3">
      <c r="A8" s="33" t="s">
        <v>184</v>
      </c>
      <c r="B8" s="34" t="s">
        <v>185</v>
      </c>
      <c r="C8" s="29" t="s">
        <v>16</v>
      </c>
      <c r="D8" s="30"/>
      <c r="E8" s="31">
        <v>1</v>
      </c>
      <c r="F8" s="32"/>
      <c r="G8" s="24">
        <f t="shared" si="0"/>
        <v>1</v>
      </c>
    </row>
    <row r="9" spans="1:7" ht="16.05" customHeight="1" x14ac:dyDescent="0.3">
      <c r="A9" s="27" t="s">
        <v>19</v>
      </c>
      <c r="B9" s="28" t="s">
        <v>186</v>
      </c>
      <c r="C9" s="29"/>
      <c r="D9" s="69" t="s">
        <v>16</v>
      </c>
      <c r="E9" s="31"/>
      <c r="F9" s="32"/>
      <c r="G9" s="24">
        <f t="shared" si="0"/>
        <v>0</v>
      </c>
    </row>
    <row r="10" spans="1:7" ht="16.05" customHeight="1" x14ac:dyDescent="0.3">
      <c r="A10" s="33" t="s">
        <v>21</v>
      </c>
      <c r="B10" s="34" t="s">
        <v>187</v>
      </c>
      <c r="C10" s="29" t="s">
        <v>16</v>
      </c>
      <c r="D10" s="30"/>
      <c r="E10" s="31"/>
      <c r="F10" s="32"/>
      <c r="G10" s="24">
        <f t="shared" si="0"/>
        <v>0</v>
      </c>
    </row>
    <row r="11" spans="1:7" ht="16.05" customHeight="1" x14ac:dyDescent="0.3">
      <c r="A11" s="27" t="s">
        <v>23</v>
      </c>
      <c r="B11" s="28" t="s">
        <v>188</v>
      </c>
      <c r="C11" s="29" t="s">
        <v>16</v>
      </c>
      <c r="D11" s="30"/>
      <c r="E11" s="31">
        <v>2</v>
      </c>
      <c r="F11" s="32"/>
      <c r="G11" s="24">
        <f t="shared" si="0"/>
        <v>2</v>
      </c>
    </row>
    <row r="12" spans="1:7" ht="16.05" customHeight="1" x14ac:dyDescent="0.3">
      <c r="A12" s="33" t="s">
        <v>25</v>
      </c>
      <c r="B12" s="34" t="s">
        <v>189</v>
      </c>
      <c r="C12" s="29" t="s">
        <v>16</v>
      </c>
      <c r="D12" s="30"/>
      <c r="E12" s="31"/>
      <c r="F12" s="32"/>
      <c r="G12" s="24">
        <f t="shared" si="0"/>
        <v>0</v>
      </c>
    </row>
    <row r="13" spans="1:7" ht="16.05" customHeight="1" x14ac:dyDescent="0.3">
      <c r="A13" s="27" t="s">
        <v>27</v>
      </c>
      <c r="B13" s="28" t="s">
        <v>190</v>
      </c>
      <c r="C13" s="29"/>
      <c r="D13" s="69" t="s">
        <v>16</v>
      </c>
      <c r="E13" s="31"/>
      <c r="F13" s="32"/>
      <c r="G13" s="24">
        <f t="shared" si="0"/>
        <v>0</v>
      </c>
    </row>
    <row r="14" spans="1:7" ht="16.05" customHeight="1" x14ac:dyDescent="0.3">
      <c r="A14" s="33" t="s">
        <v>29</v>
      </c>
      <c r="B14" s="34" t="s">
        <v>191</v>
      </c>
      <c r="C14" s="29"/>
      <c r="D14" s="30"/>
      <c r="E14" s="31">
        <v>1</v>
      </c>
      <c r="F14" s="32"/>
      <c r="G14" s="24">
        <f t="shared" si="0"/>
        <v>1</v>
      </c>
    </row>
    <row r="15" spans="1:7" ht="16.05" customHeight="1" x14ac:dyDescent="0.3">
      <c r="A15" s="27" t="s">
        <v>31</v>
      </c>
      <c r="B15" s="28" t="s">
        <v>192</v>
      </c>
      <c r="C15" s="29" t="s">
        <v>16</v>
      </c>
      <c r="D15" s="30"/>
      <c r="E15" s="31"/>
      <c r="F15" s="32"/>
      <c r="G15" s="24">
        <f t="shared" si="0"/>
        <v>0</v>
      </c>
    </row>
    <row r="16" spans="1:7" ht="16.05" customHeight="1" x14ac:dyDescent="0.3">
      <c r="A16" s="35" t="s">
        <v>33</v>
      </c>
      <c r="B16" s="36" t="s">
        <v>735</v>
      </c>
      <c r="C16" s="37"/>
      <c r="D16" s="68" t="s">
        <v>16</v>
      </c>
      <c r="E16" s="39"/>
      <c r="F16" s="40"/>
      <c r="G16" s="41">
        <f t="shared" si="0"/>
        <v>0</v>
      </c>
    </row>
    <row r="17" spans="1:7" ht="16.05" customHeight="1" x14ac:dyDescent="0.3">
      <c r="A17" s="27" t="s">
        <v>35</v>
      </c>
      <c r="B17" s="28" t="s">
        <v>193</v>
      </c>
      <c r="C17" s="29" t="s">
        <v>16</v>
      </c>
      <c r="D17" s="30"/>
      <c r="E17" s="31">
        <v>1</v>
      </c>
      <c r="F17" s="32"/>
      <c r="G17" s="24">
        <f t="shared" si="0"/>
        <v>1</v>
      </c>
    </row>
    <row r="18" spans="1:7" ht="16.05" customHeight="1" x14ac:dyDescent="0.3">
      <c r="A18" s="33" t="s">
        <v>37</v>
      </c>
      <c r="B18" s="34" t="s">
        <v>194</v>
      </c>
      <c r="C18" s="29" t="s">
        <v>16</v>
      </c>
      <c r="D18" s="30"/>
      <c r="E18" s="31"/>
      <c r="F18" s="32"/>
      <c r="G18" s="24">
        <f t="shared" si="0"/>
        <v>0</v>
      </c>
    </row>
    <row r="19" spans="1:7" ht="16.05" customHeight="1" x14ac:dyDescent="0.3">
      <c r="A19" s="27" t="s">
        <v>39</v>
      </c>
      <c r="B19" s="28" t="s">
        <v>195</v>
      </c>
      <c r="C19" s="29" t="s">
        <v>16</v>
      </c>
      <c r="D19" s="30"/>
      <c r="E19" s="31">
        <v>1</v>
      </c>
      <c r="F19" s="32"/>
      <c r="G19" s="24">
        <f t="shared" si="0"/>
        <v>1</v>
      </c>
    </row>
    <row r="20" spans="1:7" ht="16.05" customHeight="1" x14ac:dyDescent="0.3">
      <c r="A20" s="33" t="s">
        <v>41</v>
      </c>
      <c r="B20" s="34" t="s">
        <v>196</v>
      </c>
      <c r="C20" s="29" t="s">
        <v>16</v>
      </c>
      <c r="D20" s="30"/>
      <c r="E20" s="31"/>
      <c r="F20" s="32"/>
      <c r="G20" s="24">
        <f t="shared" si="0"/>
        <v>0</v>
      </c>
    </row>
    <row r="21" spans="1:7" ht="16.05" customHeight="1" x14ac:dyDescent="0.3">
      <c r="A21" s="27" t="s">
        <v>43</v>
      </c>
      <c r="B21" s="28" t="s">
        <v>197</v>
      </c>
      <c r="C21" s="29" t="s">
        <v>16</v>
      </c>
      <c r="D21" s="30"/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198</v>
      </c>
      <c r="C22" s="29" t="s">
        <v>16</v>
      </c>
      <c r="D22" s="30"/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102</v>
      </c>
      <c r="C23" s="29" t="s">
        <v>16</v>
      </c>
      <c r="D23" s="30"/>
      <c r="E23" s="31"/>
      <c r="F23" s="32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3" t="s">
        <v>64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/>
      <c r="D3" s="21" t="s">
        <v>16</v>
      </c>
      <c r="E3" s="22"/>
      <c r="F3" s="23"/>
      <c r="G3" s="24">
        <f t="shared" ref="G3:G24" si="0">MAX(0,IF(E3="",0,E3)-IF(F3="",0,F3))</f>
        <v>0</v>
      </c>
    </row>
    <row r="4" spans="1:7" ht="16.05" customHeight="1" x14ac:dyDescent="0.3">
      <c r="A4" s="25" t="s">
        <v>10</v>
      </c>
      <c r="B4" s="26" t="s">
        <v>199</v>
      </c>
      <c r="C4" s="20"/>
      <c r="D4" s="21" t="s">
        <v>16</v>
      </c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200</v>
      </c>
      <c r="C5" s="20"/>
      <c r="D5" s="21" t="s">
        <v>16</v>
      </c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201</v>
      </c>
      <c r="C6" s="20"/>
      <c r="D6" s="21"/>
      <c r="E6" s="22">
        <v>1</v>
      </c>
      <c r="F6" s="23"/>
      <c r="G6" s="24">
        <f t="shared" si="0"/>
        <v>1</v>
      </c>
    </row>
    <row r="7" spans="1:7" ht="16.05" customHeight="1" x14ac:dyDescent="0.3">
      <c r="A7" s="18" t="s">
        <v>17</v>
      </c>
      <c r="B7" s="19" t="s">
        <v>202</v>
      </c>
      <c r="C7" s="20"/>
      <c r="D7" s="21" t="s">
        <v>16</v>
      </c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203</v>
      </c>
      <c r="C8" s="20" t="s">
        <v>16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204</v>
      </c>
      <c r="C9" s="20" t="s">
        <v>16</v>
      </c>
      <c r="D9" s="21"/>
      <c r="E9" s="22">
        <v>1</v>
      </c>
      <c r="F9" s="23"/>
      <c r="G9" s="24">
        <f t="shared" si="0"/>
        <v>1</v>
      </c>
    </row>
    <row r="10" spans="1:7" ht="16.05" customHeight="1" x14ac:dyDescent="0.3">
      <c r="A10" s="25" t="s">
        <v>23</v>
      </c>
      <c r="B10" s="26" t="s">
        <v>205</v>
      </c>
      <c r="C10" s="20" t="s">
        <v>16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117</v>
      </c>
      <c r="B11" s="19" t="s">
        <v>206</v>
      </c>
      <c r="C11" s="20" t="s">
        <v>16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119</v>
      </c>
      <c r="B12" s="26" t="s">
        <v>207</v>
      </c>
      <c r="C12" s="20"/>
      <c r="D12" s="21"/>
      <c r="E12" s="22">
        <v>1</v>
      </c>
      <c r="F12" s="23"/>
      <c r="G12" s="24">
        <f t="shared" si="0"/>
        <v>1</v>
      </c>
    </row>
    <row r="13" spans="1:7" ht="16.05" customHeight="1" x14ac:dyDescent="0.3">
      <c r="A13" s="18" t="s">
        <v>27</v>
      </c>
      <c r="B13" s="19" t="s">
        <v>208</v>
      </c>
      <c r="C13" s="20" t="s">
        <v>16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29</v>
      </c>
      <c r="B14" s="26" t="s">
        <v>209</v>
      </c>
      <c r="C14" s="20"/>
      <c r="D14" s="21" t="s">
        <v>16</v>
      </c>
      <c r="E14" s="22"/>
      <c r="F14" s="23"/>
      <c r="G14" s="24">
        <f t="shared" si="0"/>
        <v>0</v>
      </c>
    </row>
    <row r="15" spans="1:7" ht="16.05" customHeight="1" x14ac:dyDescent="0.3">
      <c r="A15" s="18" t="s">
        <v>31</v>
      </c>
      <c r="B15" s="19" t="s">
        <v>210</v>
      </c>
      <c r="C15" s="20" t="s">
        <v>16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33</v>
      </c>
      <c r="B16" s="26" t="s">
        <v>211</v>
      </c>
      <c r="C16" s="20" t="s">
        <v>16</v>
      </c>
      <c r="D16" s="21"/>
      <c r="E16" s="22">
        <v>1</v>
      </c>
      <c r="F16" s="23"/>
      <c r="G16" s="24">
        <f t="shared" si="0"/>
        <v>1</v>
      </c>
    </row>
    <row r="17" spans="1:7" ht="16.05" customHeight="1" x14ac:dyDescent="0.3">
      <c r="A17" s="18" t="s">
        <v>35</v>
      </c>
      <c r="B17" s="19" t="s">
        <v>212</v>
      </c>
      <c r="C17" s="20" t="s">
        <v>16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37</v>
      </c>
      <c r="B18" s="26" t="s">
        <v>213</v>
      </c>
      <c r="C18" s="20"/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39</v>
      </c>
      <c r="B19" s="19" t="s">
        <v>214</v>
      </c>
      <c r="C19" s="20"/>
      <c r="D19" s="21" t="s">
        <v>16</v>
      </c>
      <c r="E19" s="22"/>
      <c r="F19" s="23"/>
      <c r="G19" s="24">
        <f t="shared" si="0"/>
        <v>0</v>
      </c>
    </row>
    <row r="20" spans="1:7" ht="16.05" customHeight="1" x14ac:dyDescent="0.3">
      <c r="A20" s="25" t="s">
        <v>41</v>
      </c>
      <c r="B20" s="26" t="s">
        <v>215</v>
      </c>
      <c r="C20" s="20"/>
      <c r="D20" s="21" t="s">
        <v>16</v>
      </c>
      <c r="E20" s="22"/>
      <c r="F20" s="23"/>
      <c r="G20" s="24">
        <f t="shared" si="0"/>
        <v>0</v>
      </c>
    </row>
    <row r="21" spans="1:7" ht="16.05" customHeight="1" x14ac:dyDescent="0.3">
      <c r="A21" s="18" t="s">
        <v>101</v>
      </c>
      <c r="B21" s="19" t="s">
        <v>216</v>
      </c>
      <c r="C21" s="20" t="s">
        <v>16</v>
      </c>
      <c r="D21" s="21"/>
      <c r="E21" s="22">
        <v>2</v>
      </c>
      <c r="F21" s="23"/>
      <c r="G21" s="24">
        <f t="shared" si="0"/>
        <v>2</v>
      </c>
    </row>
    <row r="22" spans="1:7" ht="16.05" customHeight="1" x14ac:dyDescent="0.3">
      <c r="A22" s="25" t="s">
        <v>103</v>
      </c>
      <c r="B22" s="26" t="s">
        <v>217</v>
      </c>
      <c r="C22" s="20"/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45</v>
      </c>
      <c r="B23" s="19" t="s">
        <v>218</v>
      </c>
      <c r="C23" s="20" t="s">
        <v>16</v>
      </c>
      <c r="D23" s="21"/>
      <c r="E23" s="22">
        <v>2</v>
      </c>
      <c r="F23" s="23"/>
      <c r="G23" s="24">
        <f t="shared" si="0"/>
        <v>2</v>
      </c>
    </row>
    <row r="24" spans="1:7" ht="16.05" customHeight="1" x14ac:dyDescent="0.3">
      <c r="A24" s="25" t="s">
        <v>47</v>
      </c>
      <c r="B24" s="26" t="s">
        <v>219</v>
      </c>
      <c r="C24" s="20"/>
      <c r="D24" s="21" t="s">
        <v>16</v>
      </c>
      <c r="E24" s="22"/>
      <c r="F24" s="23"/>
      <c r="G2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>
      <pane ySplit="2" topLeftCell="A3" activePane="bottomLeft" state="frozen"/>
      <selection pane="bottomLeft" activeCell="B16" sqref="B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4" t="s">
        <v>65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30"/>
      <c r="E3" s="31">
        <v>1</v>
      </c>
      <c r="F3" s="32"/>
      <c r="G3" s="24">
        <f t="shared" ref="G3:G23" si="0">MAX(0,IF(E3="",0,E3)-IF(F3="",0,F3))</f>
        <v>1</v>
      </c>
    </row>
    <row r="4" spans="1:7" ht="16.05" customHeight="1" x14ac:dyDescent="0.3">
      <c r="A4" s="33" t="s">
        <v>10</v>
      </c>
      <c r="B4" s="34" t="s">
        <v>220</v>
      </c>
      <c r="C4" s="29" t="s">
        <v>16</v>
      </c>
      <c r="D4" s="30"/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221</v>
      </c>
      <c r="C5" s="29" t="s">
        <v>16</v>
      </c>
      <c r="D5" s="30"/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222</v>
      </c>
      <c r="C6" s="29" t="s">
        <v>16</v>
      </c>
      <c r="D6" s="3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223</v>
      </c>
      <c r="C7" s="29"/>
      <c r="D7" s="69" t="s">
        <v>16</v>
      </c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224</v>
      </c>
      <c r="C8" s="29"/>
      <c r="D8" s="69" t="s">
        <v>16</v>
      </c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225</v>
      </c>
      <c r="C9" s="29" t="s">
        <v>16</v>
      </c>
      <c r="D9" s="30"/>
      <c r="E9" s="31">
        <v>1</v>
      </c>
      <c r="F9" s="32"/>
      <c r="G9" s="24">
        <f t="shared" si="0"/>
        <v>1</v>
      </c>
    </row>
    <row r="10" spans="1:7" ht="16.05" customHeight="1" x14ac:dyDescent="0.3">
      <c r="A10" s="33" t="s">
        <v>23</v>
      </c>
      <c r="B10" s="34" t="s">
        <v>226</v>
      </c>
      <c r="C10" s="29" t="s">
        <v>16</v>
      </c>
      <c r="D10" s="30"/>
      <c r="E10" s="31">
        <v>1</v>
      </c>
      <c r="F10" s="32"/>
      <c r="G10" s="24">
        <f t="shared" si="0"/>
        <v>1</v>
      </c>
    </row>
    <row r="11" spans="1:7" ht="16.05" customHeight="1" x14ac:dyDescent="0.3">
      <c r="A11" s="27" t="s">
        <v>117</v>
      </c>
      <c r="B11" s="28" t="s">
        <v>227</v>
      </c>
      <c r="C11" s="29"/>
      <c r="D11" s="69" t="s">
        <v>16</v>
      </c>
      <c r="E11" s="31"/>
      <c r="F11" s="32"/>
      <c r="G11" s="24">
        <f t="shared" si="0"/>
        <v>0</v>
      </c>
    </row>
    <row r="12" spans="1:7" ht="16.05" customHeight="1" x14ac:dyDescent="0.3">
      <c r="A12" s="33" t="s">
        <v>119</v>
      </c>
      <c r="B12" s="34" t="s">
        <v>228</v>
      </c>
      <c r="C12" s="29"/>
      <c r="D12" s="30"/>
      <c r="E12" s="31"/>
      <c r="F12" s="32"/>
      <c r="G12" s="24">
        <f t="shared" si="0"/>
        <v>0</v>
      </c>
    </row>
    <row r="13" spans="1:7" ht="16.05" customHeight="1" x14ac:dyDescent="0.3">
      <c r="A13" s="27" t="s">
        <v>27</v>
      </c>
      <c r="B13" s="28" t="s">
        <v>229</v>
      </c>
      <c r="C13" s="29" t="s">
        <v>16</v>
      </c>
      <c r="D13" s="30"/>
      <c r="E13" s="31"/>
      <c r="F13" s="32"/>
      <c r="G13" s="24">
        <f t="shared" si="0"/>
        <v>0</v>
      </c>
    </row>
    <row r="14" spans="1:7" ht="16.05" customHeight="1" x14ac:dyDescent="0.3">
      <c r="A14" s="33" t="s">
        <v>29</v>
      </c>
      <c r="B14" s="34" t="s">
        <v>230</v>
      </c>
      <c r="C14" s="29" t="s">
        <v>16</v>
      </c>
      <c r="D14" s="30"/>
      <c r="E14" s="31"/>
      <c r="F14" s="32"/>
      <c r="G14" s="24">
        <f t="shared" si="0"/>
        <v>0</v>
      </c>
    </row>
    <row r="15" spans="1:7" ht="16.05" customHeight="1" x14ac:dyDescent="0.3">
      <c r="A15" s="27" t="s">
        <v>31</v>
      </c>
      <c r="B15" s="28" t="s">
        <v>231</v>
      </c>
      <c r="C15" s="29" t="s">
        <v>16</v>
      </c>
      <c r="D15" s="30"/>
      <c r="E15" s="31"/>
      <c r="F15" s="32"/>
      <c r="G15" s="24">
        <f t="shared" si="0"/>
        <v>0</v>
      </c>
    </row>
    <row r="16" spans="1:7" ht="16.05" customHeight="1" x14ac:dyDescent="0.3">
      <c r="A16" s="33" t="s">
        <v>33</v>
      </c>
      <c r="B16" s="34" t="s">
        <v>232</v>
      </c>
      <c r="C16" s="29" t="s">
        <v>16</v>
      </c>
      <c r="D16" s="30"/>
      <c r="E16" s="31"/>
      <c r="F16" s="32"/>
      <c r="G16" s="24">
        <f t="shared" si="0"/>
        <v>0</v>
      </c>
    </row>
    <row r="17" spans="1:7" ht="16.05" customHeight="1" x14ac:dyDescent="0.3">
      <c r="A17" s="27" t="s">
        <v>35</v>
      </c>
      <c r="B17" s="28" t="s">
        <v>233</v>
      </c>
      <c r="C17" s="29" t="s">
        <v>16</v>
      </c>
      <c r="D17" s="30"/>
      <c r="E17" s="31"/>
      <c r="F17" s="32"/>
      <c r="G17" s="24">
        <f t="shared" si="0"/>
        <v>0</v>
      </c>
    </row>
    <row r="18" spans="1:7" ht="16.05" customHeight="1" x14ac:dyDescent="0.3">
      <c r="A18" s="33" t="s">
        <v>37</v>
      </c>
      <c r="B18" s="34" t="s">
        <v>234</v>
      </c>
      <c r="C18" s="29" t="s">
        <v>16</v>
      </c>
      <c r="D18" s="30"/>
      <c r="E18" s="31"/>
      <c r="F18" s="32"/>
      <c r="G18" s="24">
        <f t="shared" si="0"/>
        <v>0</v>
      </c>
    </row>
    <row r="19" spans="1:7" ht="16.05" customHeight="1" x14ac:dyDescent="0.3">
      <c r="A19" s="27" t="s">
        <v>39</v>
      </c>
      <c r="B19" s="28" t="s">
        <v>235</v>
      </c>
      <c r="C19" s="29"/>
      <c r="D19" s="69" t="s">
        <v>16</v>
      </c>
      <c r="E19" s="31"/>
      <c r="F19" s="32"/>
      <c r="G19" s="24">
        <f t="shared" si="0"/>
        <v>0</v>
      </c>
    </row>
    <row r="20" spans="1:7" ht="16.05" customHeight="1" x14ac:dyDescent="0.3">
      <c r="A20" s="35" t="s">
        <v>41</v>
      </c>
      <c r="B20" s="36"/>
      <c r="C20" s="37"/>
      <c r="D20" s="38"/>
      <c r="E20" s="39"/>
      <c r="F20" s="40"/>
      <c r="G20" s="41">
        <f t="shared" si="0"/>
        <v>0</v>
      </c>
    </row>
    <row r="21" spans="1:7" ht="16.05" customHeight="1" x14ac:dyDescent="0.3">
      <c r="A21" s="27" t="s">
        <v>43</v>
      </c>
      <c r="B21" s="28" t="s">
        <v>236</v>
      </c>
      <c r="C21" s="29"/>
      <c r="D21" s="69" t="s">
        <v>16</v>
      </c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237</v>
      </c>
      <c r="C22" s="29"/>
      <c r="D22" s="69" t="s">
        <v>16</v>
      </c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238</v>
      </c>
      <c r="C23" s="29" t="s">
        <v>16</v>
      </c>
      <c r="D23" s="30"/>
      <c r="E23" s="31">
        <v>2</v>
      </c>
      <c r="F23" s="32"/>
      <c r="G23" s="24">
        <f t="shared" si="0"/>
        <v>2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>
      <pane ySplit="2" topLeftCell="A3" activePane="bottomLeft" state="frozen"/>
      <selection pane="bottomLeft" activeCell="B11" sqref="B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5" t="s">
        <v>66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30"/>
      <c r="E3" s="31"/>
      <c r="F3" s="32"/>
      <c r="G3" s="24">
        <f t="shared" ref="G3:G24" si="0">MAX(0,IF(E3="",0,E3)-IF(F3="",0,F3))</f>
        <v>0</v>
      </c>
    </row>
    <row r="4" spans="1:7" ht="16.05" customHeight="1" x14ac:dyDescent="0.3">
      <c r="A4" s="33" t="s">
        <v>10</v>
      </c>
      <c r="B4" s="34" t="s">
        <v>736</v>
      </c>
      <c r="C4" s="29"/>
      <c r="D4" s="69" t="s">
        <v>16</v>
      </c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239</v>
      </c>
      <c r="C5" s="29" t="s">
        <v>16</v>
      </c>
      <c r="D5" s="30"/>
      <c r="E5" s="31"/>
      <c r="F5" s="32"/>
      <c r="G5" s="24">
        <f t="shared" si="0"/>
        <v>0</v>
      </c>
    </row>
    <row r="6" spans="1:7" ht="16.05" customHeight="1" x14ac:dyDescent="0.3">
      <c r="A6" s="35" t="s">
        <v>14</v>
      </c>
      <c r="B6" s="36" t="s">
        <v>737</v>
      </c>
      <c r="C6" s="37"/>
      <c r="D6" s="68" t="s">
        <v>16</v>
      </c>
      <c r="E6" s="39"/>
      <c r="F6" s="40"/>
      <c r="G6" s="41">
        <f t="shared" si="0"/>
        <v>0</v>
      </c>
    </row>
    <row r="7" spans="1:7" ht="16.05" customHeight="1" x14ac:dyDescent="0.3">
      <c r="A7" s="27" t="s">
        <v>17</v>
      </c>
      <c r="B7" s="28" t="s">
        <v>240</v>
      </c>
      <c r="C7" s="29"/>
      <c r="D7" s="30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241</v>
      </c>
      <c r="C8" s="29" t="s">
        <v>16</v>
      </c>
      <c r="D8" s="30"/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242</v>
      </c>
      <c r="C9" s="29" t="s">
        <v>16</v>
      </c>
      <c r="D9" s="30"/>
      <c r="E9" s="31"/>
      <c r="F9" s="32"/>
      <c r="G9" s="24">
        <f t="shared" si="0"/>
        <v>0</v>
      </c>
    </row>
    <row r="10" spans="1:7" ht="16.05" customHeight="1" x14ac:dyDescent="0.3">
      <c r="A10" s="33" t="s">
        <v>23</v>
      </c>
      <c r="B10" s="34" t="s">
        <v>243</v>
      </c>
      <c r="C10" s="29"/>
      <c r="D10" s="30"/>
      <c r="E10" s="31"/>
      <c r="F10" s="32"/>
      <c r="G10" s="24">
        <f t="shared" si="0"/>
        <v>0</v>
      </c>
    </row>
    <row r="11" spans="1:7" ht="16.05" customHeight="1" x14ac:dyDescent="0.3">
      <c r="A11" s="27" t="s">
        <v>117</v>
      </c>
      <c r="B11" s="28" t="s">
        <v>244</v>
      </c>
      <c r="C11" s="29"/>
      <c r="D11" s="30"/>
      <c r="E11" s="31">
        <v>1</v>
      </c>
      <c r="F11" s="32"/>
      <c r="G11" s="24">
        <f t="shared" si="0"/>
        <v>1</v>
      </c>
    </row>
    <row r="12" spans="1:7" ht="16.05" customHeight="1" x14ac:dyDescent="0.3">
      <c r="A12" s="33" t="s">
        <v>119</v>
      </c>
      <c r="B12" s="34" t="s">
        <v>245</v>
      </c>
      <c r="C12" s="29" t="s">
        <v>16</v>
      </c>
      <c r="D12" s="30"/>
      <c r="E12" s="31"/>
      <c r="F12" s="32"/>
      <c r="G12" s="24">
        <f t="shared" si="0"/>
        <v>0</v>
      </c>
    </row>
    <row r="13" spans="1:7" ht="16.05" customHeight="1" x14ac:dyDescent="0.3">
      <c r="A13" s="27" t="s">
        <v>27</v>
      </c>
      <c r="B13" s="28" t="s">
        <v>246</v>
      </c>
      <c r="C13" s="29" t="s">
        <v>16</v>
      </c>
      <c r="D13" s="30"/>
      <c r="E13" s="31">
        <v>1</v>
      </c>
      <c r="F13" s="32"/>
      <c r="G13" s="24">
        <f t="shared" si="0"/>
        <v>1</v>
      </c>
    </row>
    <row r="14" spans="1:7" ht="16.05" customHeight="1" x14ac:dyDescent="0.3">
      <c r="A14" s="33" t="s">
        <v>29</v>
      </c>
      <c r="B14" s="34" t="s">
        <v>247</v>
      </c>
      <c r="C14" s="29" t="s">
        <v>16</v>
      </c>
      <c r="D14" s="30"/>
      <c r="E14" s="31">
        <v>1</v>
      </c>
      <c r="F14" s="32"/>
      <c r="G14" s="24">
        <f t="shared" si="0"/>
        <v>1</v>
      </c>
    </row>
    <row r="15" spans="1:7" ht="16.05" customHeight="1" x14ac:dyDescent="0.3">
      <c r="A15" s="27" t="s">
        <v>31</v>
      </c>
      <c r="B15" s="28" t="s">
        <v>248</v>
      </c>
      <c r="C15" s="29" t="s">
        <v>16</v>
      </c>
      <c r="D15" s="30"/>
      <c r="E15" s="31"/>
      <c r="F15" s="32"/>
      <c r="G15" s="24">
        <f t="shared" si="0"/>
        <v>0</v>
      </c>
    </row>
    <row r="16" spans="1:7" ht="16.05" customHeight="1" x14ac:dyDescent="0.3">
      <c r="A16" s="33" t="s">
        <v>249</v>
      </c>
      <c r="B16" s="34" t="s">
        <v>250</v>
      </c>
      <c r="C16" s="29" t="s">
        <v>16</v>
      </c>
      <c r="D16" s="30"/>
      <c r="E16" s="31">
        <v>1</v>
      </c>
      <c r="F16" s="32"/>
      <c r="G16" s="24">
        <f t="shared" si="0"/>
        <v>1</v>
      </c>
    </row>
    <row r="17" spans="1:7" ht="16.05" customHeight="1" x14ac:dyDescent="0.3">
      <c r="A17" s="27" t="s">
        <v>251</v>
      </c>
      <c r="B17" s="28" t="s">
        <v>252</v>
      </c>
      <c r="C17" s="29"/>
      <c r="D17" s="30"/>
      <c r="E17" s="31"/>
      <c r="F17" s="32"/>
      <c r="G17" s="24">
        <f t="shared" si="0"/>
        <v>0</v>
      </c>
    </row>
    <row r="18" spans="1:7" ht="16.05" customHeight="1" x14ac:dyDescent="0.3">
      <c r="A18" s="33" t="s">
        <v>35</v>
      </c>
      <c r="B18" s="34" t="s">
        <v>253</v>
      </c>
      <c r="C18" s="29" t="s">
        <v>16</v>
      </c>
      <c r="D18" s="30"/>
      <c r="E18" s="31">
        <v>1</v>
      </c>
      <c r="F18" s="32"/>
      <c r="G18" s="24">
        <f t="shared" si="0"/>
        <v>1</v>
      </c>
    </row>
    <row r="19" spans="1:7" ht="16.05" customHeight="1" x14ac:dyDescent="0.3">
      <c r="A19" s="27" t="s">
        <v>37</v>
      </c>
      <c r="B19" s="28" t="s">
        <v>254</v>
      </c>
      <c r="C19" s="29"/>
      <c r="D19" s="69" t="s">
        <v>16</v>
      </c>
      <c r="E19" s="31"/>
      <c r="F19" s="32"/>
      <c r="G19" s="24">
        <f t="shared" si="0"/>
        <v>0</v>
      </c>
    </row>
    <row r="20" spans="1:7" ht="16.05" customHeight="1" x14ac:dyDescent="0.3">
      <c r="A20" s="33" t="s">
        <v>39</v>
      </c>
      <c r="B20" s="34" t="s">
        <v>255</v>
      </c>
      <c r="C20" s="29" t="s">
        <v>16</v>
      </c>
      <c r="D20" s="30"/>
      <c r="E20" s="31">
        <v>1</v>
      </c>
      <c r="F20" s="32"/>
      <c r="G20" s="24">
        <f t="shared" si="0"/>
        <v>1</v>
      </c>
    </row>
    <row r="21" spans="1:7" ht="16.05" customHeight="1" x14ac:dyDescent="0.3">
      <c r="A21" s="42" t="s">
        <v>41</v>
      </c>
      <c r="B21" s="43" t="s">
        <v>738</v>
      </c>
      <c r="C21" s="37"/>
      <c r="D21" s="68" t="s">
        <v>16</v>
      </c>
      <c r="E21" s="39"/>
      <c r="F21" s="40"/>
      <c r="G21" s="41">
        <f t="shared" si="0"/>
        <v>0</v>
      </c>
    </row>
    <row r="22" spans="1:7" ht="16.05" customHeight="1" x14ac:dyDescent="0.3">
      <c r="A22" s="33" t="s">
        <v>43</v>
      </c>
      <c r="B22" s="34" t="s">
        <v>256</v>
      </c>
      <c r="C22" s="29"/>
      <c r="D22" s="69" t="s">
        <v>16</v>
      </c>
      <c r="E22" s="31"/>
      <c r="F22" s="32"/>
      <c r="G22" s="24">
        <f t="shared" si="0"/>
        <v>0</v>
      </c>
    </row>
    <row r="23" spans="1:7" ht="16.05" customHeight="1" x14ac:dyDescent="0.3">
      <c r="A23" s="27" t="s">
        <v>45</v>
      </c>
      <c r="B23" s="28" t="s">
        <v>257</v>
      </c>
      <c r="C23" s="29" t="s">
        <v>16</v>
      </c>
      <c r="D23" s="30"/>
      <c r="E23" s="31"/>
      <c r="F23" s="32"/>
      <c r="G23" s="24">
        <f t="shared" si="0"/>
        <v>0</v>
      </c>
    </row>
    <row r="24" spans="1:7" ht="16.05" customHeight="1" x14ac:dyDescent="0.3">
      <c r="A24" s="33" t="s">
        <v>47</v>
      </c>
      <c r="B24" s="34" t="s">
        <v>258</v>
      </c>
      <c r="C24" s="29" t="s">
        <v>16</v>
      </c>
      <c r="D24" s="30"/>
      <c r="E24" s="31"/>
      <c r="F24" s="32"/>
      <c r="G2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>
      <pane ySplit="2" topLeftCell="A3" activePane="bottomLeft" state="frozen"/>
      <selection pane="bottomLeft" activeCell="D12" sqref="D1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4" t="s">
        <v>67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30"/>
      <c r="E3" s="31">
        <v>1</v>
      </c>
      <c r="F3" s="32"/>
      <c r="G3" s="24">
        <f t="shared" ref="G3:G22" si="0">MAX(0,IF(E3="",0,E3)-IF(F3="",0,F3))</f>
        <v>1</v>
      </c>
    </row>
    <row r="4" spans="1:7" ht="16.05" customHeight="1" x14ac:dyDescent="0.3">
      <c r="A4" s="33" t="s">
        <v>10</v>
      </c>
      <c r="B4" s="34" t="s">
        <v>259</v>
      </c>
      <c r="C4" s="29" t="s">
        <v>16</v>
      </c>
      <c r="D4" s="30"/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260</v>
      </c>
      <c r="C5" s="29" t="s">
        <v>16</v>
      </c>
      <c r="D5" s="30"/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261</v>
      </c>
      <c r="C6" s="29" t="s">
        <v>16</v>
      </c>
      <c r="D6" s="3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262</v>
      </c>
      <c r="C7" s="29"/>
      <c r="D7" s="30" t="s">
        <v>16</v>
      </c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263</v>
      </c>
      <c r="C8" s="29" t="s">
        <v>16</v>
      </c>
      <c r="D8" s="30"/>
      <c r="E8" s="31">
        <v>1</v>
      </c>
      <c r="F8" s="32"/>
      <c r="G8" s="24">
        <f t="shared" si="0"/>
        <v>1</v>
      </c>
    </row>
    <row r="9" spans="1:7" ht="16.05" customHeight="1" x14ac:dyDescent="0.3">
      <c r="A9" s="27" t="s">
        <v>21</v>
      </c>
      <c r="B9" s="28" t="s">
        <v>264</v>
      </c>
      <c r="C9" s="29" t="s">
        <v>16</v>
      </c>
      <c r="D9" s="30"/>
      <c r="E9" s="31"/>
      <c r="F9" s="32"/>
      <c r="G9" s="24">
        <f t="shared" si="0"/>
        <v>0</v>
      </c>
    </row>
    <row r="10" spans="1:7" ht="16.05" customHeight="1" x14ac:dyDescent="0.3">
      <c r="A10" s="33" t="s">
        <v>23</v>
      </c>
      <c r="B10" s="34" t="s">
        <v>265</v>
      </c>
      <c r="C10" s="29" t="s">
        <v>16</v>
      </c>
      <c r="D10" s="30"/>
      <c r="E10" s="31"/>
      <c r="F10" s="32"/>
      <c r="G10" s="24">
        <f t="shared" si="0"/>
        <v>0</v>
      </c>
    </row>
    <row r="11" spans="1:7" ht="16.05" customHeight="1" x14ac:dyDescent="0.3">
      <c r="A11" s="27" t="s">
        <v>25</v>
      </c>
      <c r="B11" s="28" t="s">
        <v>266</v>
      </c>
      <c r="C11" s="29"/>
      <c r="D11" s="30"/>
      <c r="E11" s="31">
        <v>1</v>
      </c>
      <c r="F11" s="32"/>
      <c r="G11" s="24">
        <f t="shared" si="0"/>
        <v>1</v>
      </c>
    </row>
    <row r="12" spans="1:7" ht="16.05" customHeight="1" x14ac:dyDescent="0.3">
      <c r="A12" s="35" t="s">
        <v>27</v>
      </c>
      <c r="B12" s="36" t="s">
        <v>739</v>
      </c>
      <c r="C12" s="37"/>
      <c r="D12" s="68" t="s">
        <v>16</v>
      </c>
      <c r="E12" s="39"/>
      <c r="F12" s="40"/>
      <c r="G12" s="41">
        <f t="shared" si="0"/>
        <v>0</v>
      </c>
    </row>
    <row r="13" spans="1:7" ht="16.05" customHeight="1" x14ac:dyDescent="0.3">
      <c r="A13" s="27" t="s">
        <v>29</v>
      </c>
      <c r="B13" s="28" t="s">
        <v>267</v>
      </c>
      <c r="C13" s="29"/>
      <c r="D13" s="30" t="s">
        <v>16</v>
      </c>
      <c r="E13" s="31"/>
      <c r="F13" s="32"/>
      <c r="G13" s="24">
        <f t="shared" si="0"/>
        <v>0</v>
      </c>
    </row>
    <row r="14" spans="1:7" ht="16.05" customHeight="1" x14ac:dyDescent="0.3">
      <c r="A14" s="33" t="s">
        <v>31</v>
      </c>
      <c r="B14" s="34" t="s">
        <v>268</v>
      </c>
      <c r="C14" s="29" t="s">
        <v>16</v>
      </c>
      <c r="D14" s="30"/>
      <c r="E14" s="31"/>
      <c r="F14" s="32"/>
      <c r="G14" s="24">
        <f t="shared" si="0"/>
        <v>0</v>
      </c>
    </row>
    <row r="15" spans="1:7" ht="16.05" customHeight="1" x14ac:dyDescent="0.3">
      <c r="A15" s="27" t="s">
        <v>33</v>
      </c>
      <c r="B15" s="28" t="s">
        <v>269</v>
      </c>
      <c r="C15" s="29" t="s">
        <v>16</v>
      </c>
      <c r="D15" s="30"/>
      <c r="E15" s="31">
        <v>1</v>
      </c>
      <c r="F15" s="32"/>
      <c r="G15" s="24">
        <f t="shared" si="0"/>
        <v>1</v>
      </c>
    </row>
    <row r="16" spans="1:7" ht="16.05" customHeight="1" x14ac:dyDescent="0.3">
      <c r="A16" s="33" t="s">
        <v>35</v>
      </c>
      <c r="B16" s="34" t="s">
        <v>270</v>
      </c>
      <c r="C16" s="29" t="s">
        <v>16</v>
      </c>
      <c r="D16" s="30"/>
      <c r="E16" s="31"/>
      <c r="F16" s="32"/>
      <c r="G16" s="24">
        <f t="shared" si="0"/>
        <v>0</v>
      </c>
    </row>
    <row r="17" spans="1:7" ht="16.05" customHeight="1" x14ac:dyDescent="0.3">
      <c r="A17" s="42" t="s">
        <v>37</v>
      </c>
      <c r="B17" s="43" t="s">
        <v>740</v>
      </c>
      <c r="C17" s="37"/>
      <c r="D17" s="68" t="s">
        <v>16</v>
      </c>
      <c r="E17" s="39"/>
      <c r="F17" s="40"/>
      <c r="G17" s="41">
        <f t="shared" si="0"/>
        <v>0</v>
      </c>
    </row>
    <row r="18" spans="1:7" ht="16.05" customHeight="1" x14ac:dyDescent="0.3">
      <c r="A18" s="33" t="s">
        <v>39</v>
      </c>
      <c r="B18" s="34" t="s">
        <v>271</v>
      </c>
      <c r="C18" s="29" t="s">
        <v>16</v>
      </c>
      <c r="D18" s="30"/>
      <c r="E18" s="31"/>
      <c r="F18" s="32"/>
      <c r="G18" s="24">
        <f t="shared" si="0"/>
        <v>0</v>
      </c>
    </row>
    <row r="19" spans="1:7" ht="16.05" customHeight="1" x14ac:dyDescent="0.3">
      <c r="A19" s="27" t="s">
        <v>41</v>
      </c>
      <c r="B19" s="28" t="s">
        <v>272</v>
      </c>
      <c r="C19" s="29"/>
      <c r="D19" s="30" t="s">
        <v>16</v>
      </c>
      <c r="E19" s="31"/>
      <c r="F19" s="32"/>
      <c r="G19" s="24">
        <f t="shared" si="0"/>
        <v>0</v>
      </c>
    </row>
    <row r="20" spans="1:7" ht="16.05" customHeight="1" x14ac:dyDescent="0.3">
      <c r="A20" s="33" t="s">
        <v>43</v>
      </c>
      <c r="B20" s="34" t="s">
        <v>273</v>
      </c>
      <c r="C20" s="29" t="s">
        <v>16</v>
      </c>
      <c r="D20" s="30"/>
      <c r="E20" s="31"/>
      <c r="F20" s="32"/>
      <c r="G20" s="24">
        <f t="shared" si="0"/>
        <v>0</v>
      </c>
    </row>
    <row r="21" spans="1:7" ht="16.05" customHeight="1" x14ac:dyDescent="0.3">
      <c r="A21" s="27" t="s">
        <v>45</v>
      </c>
      <c r="B21" s="28" t="s">
        <v>274</v>
      </c>
      <c r="C21" s="29" t="s">
        <v>16</v>
      </c>
      <c r="D21" s="30"/>
      <c r="E21" s="31">
        <v>1</v>
      </c>
      <c r="F21" s="32"/>
      <c r="G21" s="24">
        <f t="shared" si="0"/>
        <v>1</v>
      </c>
    </row>
    <row r="22" spans="1:7" ht="16.05" customHeight="1" x14ac:dyDescent="0.3">
      <c r="A22" s="33" t="s">
        <v>47</v>
      </c>
      <c r="B22" s="34" t="s">
        <v>275</v>
      </c>
      <c r="C22" s="29" t="s">
        <v>16</v>
      </c>
      <c r="D22" s="30"/>
      <c r="E22" s="31"/>
      <c r="F22" s="32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pane ySplit="2" topLeftCell="A3" activePane="bottomLeft" state="frozen"/>
      <selection pane="bottomLeft" activeCell="B15" sqref="B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6" t="s">
        <v>68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/>
      <c r="D3" s="70" t="s">
        <v>16</v>
      </c>
      <c r="E3" s="31"/>
      <c r="F3" s="32"/>
      <c r="G3" s="24">
        <f t="shared" ref="G3:G22" si="0">MAX(0,IF(E3="",0,E3)-IF(F3="",0,F3))</f>
        <v>0</v>
      </c>
    </row>
    <row r="4" spans="1:7" ht="16.05" customHeight="1" x14ac:dyDescent="0.3">
      <c r="A4" s="33" t="s">
        <v>10</v>
      </c>
      <c r="B4" s="34" t="s">
        <v>276</v>
      </c>
      <c r="C4" s="29" t="s">
        <v>16</v>
      </c>
      <c r="D4" s="70"/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277</v>
      </c>
      <c r="C5" s="29"/>
      <c r="D5" s="70" t="s">
        <v>16</v>
      </c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278</v>
      </c>
      <c r="C6" s="29" t="s">
        <v>16</v>
      </c>
      <c r="D6" s="7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279</v>
      </c>
      <c r="C7" s="29" t="s">
        <v>16</v>
      </c>
      <c r="D7" s="70"/>
      <c r="E7" s="31">
        <v>3</v>
      </c>
      <c r="F7" s="32"/>
      <c r="G7" s="24">
        <f t="shared" si="0"/>
        <v>3</v>
      </c>
    </row>
    <row r="8" spans="1:7" ht="16.05" customHeight="1" x14ac:dyDescent="0.3">
      <c r="A8" s="33" t="s">
        <v>19</v>
      </c>
      <c r="B8" s="34" t="s">
        <v>280</v>
      </c>
      <c r="C8" s="29" t="s">
        <v>16</v>
      </c>
      <c r="D8" s="70"/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281</v>
      </c>
      <c r="C9" s="29" t="s">
        <v>16</v>
      </c>
      <c r="D9" s="70"/>
      <c r="E9" s="31"/>
      <c r="F9" s="32"/>
      <c r="G9" s="24">
        <f t="shared" si="0"/>
        <v>0</v>
      </c>
    </row>
    <row r="10" spans="1:7" ht="16.05" customHeight="1" x14ac:dyDescent="0.3">
      <c r="A10" s="33" t="s">
        <v>23</v>
      </c>
      <c r="B10" s="34" t="s">
        <v>282</v>
      </c>
      <c r="C10" s="29" t="s">
        <v>16</v>
      </c>
      <c r="D10" s="70"/>
      <c r="E10" s="31"/>
      <c r="F10" s="32"/>
      <c r="G10" s="24">
        <f t="shared" si="0"/>
        <v>0</v>
      </c>
    </row>
    <row r="11" spans="1:7" ht="16.05" customHeight="1" x14ac:dyDescent="0.3">
      <c r="A11" s="27" t="s">
        <v>25</v>
      </c>
      <c r="B11" s="28" t="s">
        <v>283</v>
      </c>
      <c r="C11" s="29"/>
      <c r="D11" s="70" t="s">
        <v>16</v>
      </c>
      <c r="E11" s="31"/>
      <c r="F11" s="32"/>
      <c r="G11" s="24">
        <f t="shared" si="0"/>
        <v>0</v>
      </c>
    </row>
    <row r="12" spans="1:7" ht="16.05" customHeight="1" x14ac:dyDescent="0.3">
      <c r="A12" s="33" t="s">
        <v>27</v>
      </c>
      <c r="B12" s="34" t="s">
        <v>284</v>
      </c>
      <c r="C12" s="29" t="s">
        <v>16</v>
      </c>
      <c r="D12" s="70"/>
      <c r="E12" s="31"/>
      <c r="F12" s="32"/>
      <c r="G12" s="24">
        <f t="shared" si="0"/>
        <v>0</v>
      </c>
    </row>
    <row r="13" spans="1:7" ht="16.05" customHeight="1" x14ac:dyDescent="0.3">
      <c r="A13" s="27" t="s">
        <v>29</v>
      </c>
      <c r="B13" s="28" t="s">
        <v>285</v>
      </c>
      <c r="C13" s="29" t="s">
        <v>16</v>
      </c>
      <c r="D13" s="70"/>
      <c r="E13" s="31"/>
      <c r="F13" s="32"/>
      <c r="G13" s="24">
        <f t="shared" si="0"/>
        <v>0</v>
      </c>
    </row>
    <row r="14" spans="1:7" ht="16.05" customHeight="1" x14ac:dyDescent="0.3">
      <c r="A14" s="33" t="s">
        <v>31</v>
      </c>
      <c r="B14" s="34" t="s">
        <v>286</v>
      </c>
      <c r="C14" s="29" t="s">
        <v>16</v>
      </c>
      <c r="D14" s="70"/>
      <c r="E14" s="31"/>
      <c r="F14" s="32"/>
      <c r="G14" s="24">
        <f t="shared" si="0"/>
        <v>0</v>
      </c>
    </row>
    <row r="15" spans="1:7" ht="16.05" customHeight="1" x14ac:dyDescent="0.3">
      <c r="A15" s="42" t="s">
        <v>33</v>
      </c>
      <c r="B15" s="43"/>
      <c r="C15" s="37"/>
      <c r="D15" s="68" t="s">
        <v>16</v>
      </c>
      <c r="E15" s="39"/>
      <c r="F15" s="40"/>
      <c r="G15" s="41">
        <f t="shared" si="0"/>
        <v>0</v>
      </c>
    </row>
    <row r="16" spans="1:7" ht="16.05" customHeight="1" x14ac:dyDescent="0.3">
      <c r="A16" s="35" t="s">
        <v>35</v>
      </c>
      <c r="B16" s="36" t="s">
        <v>741</v>
      </c>
      <c r="C16" s="37"/>
      <c r="D16" s="68" t="s">
        <v>16</v>
      </c>
      <c r="E16" s="39"/>
      <c r="F16" s="40"/>
      <c r="G16" s="41">
        <f t="shared" si="0"/>
        <v>0</v>
      </c>
    </row>
    <row r="17" spans="1:7" ht="16.05" customHeight="1" x14ac:dyDescent="0.3">
      <c r="A17" s="42" t="s">
        <v>37</v>
      </c>
      <c r="B17" s="43"/>
      <c r="C17" s="37"/>
      <c r="D17" s="68" t="s">
        <v>16</v>
      </c>
      <c r="E17" s="39"/>
      <c r="F17" s="40"/>
      <c r="G17" s="41">
        <f t="shared" si="0"/>
        <v>0</v>
      </c>
    </row>
    <row r="18" spans="1:7" ht="16.05" customHeight="1" x14ac:dyDescent="0.3">
      <c r="A18" s="35" t="s">
        <v>39</v>
      </c>
      <c r="B18" s="36" t="s">
        <v>742</v>
      </c>
      <c r="C18" s="37"/>
      <c r="D18" s="68" t="s">
        <v>16</v>
      </c>
      <c r="E18" s="39"/>
      <c r="F18" s="40"/>
      <c r="G18" s="41">
        <f t="shared" si="0"/>
        <v>0</v>
      </c>
    </row>
    <row r="19" spans="1:7" ht="16.05" customHeight="1" x14ac:dyDescent="0.3">
      <c r="A19" s="27" t="s">
        <v>41</v>
      </c>
      <c r="B19" s="28" t="s">
        <v>287</v>
      </c>
      <c r="C19" s="29"/>
      <c r="D19" s="70"/>
      <c r="E19" s="31">
        <v>1</v>
      </c>
      <c r="F19" s="32"/>
      <c r="G19" s="24">
        <f t="shared" si="0"/>
        <v>1</v>
      </c>
    </row>
    <row r="20" spans="1:7" ht="16.05" customHeight="1" x14ac:dyDescent="0.3">
      <c r="A20" s="33" t="s">
        <v>43</v>
      </c>
      <c r="B20" s="34" t="s">
        <v>288</v>
      </c>
      <c r="C20" s="29"/>
      <c r="D20" s="70" t="s">
        <v>16</v>
      </c>
      <c r="E20" s="31"/>
      <c r="F20" s="32"/>
      <c r="G20" s="24">
        <f t="shared" si="0"/>
        <v>0</v>
      </c>
    </row>
    <row r="21" spans="1:7" ht="16.05" customHeight="1" x14ac:dyDescent="0.3">
      <c r="A21" s="27" t="s">
        <v>45</v>
      </c>
      <c r="B21" s="28" t="s">
        <v>289</v>
      </c>
      <c r="C21" s="29"/>
      <c r="D21" s="70"/>
      <c r="E21" s="31">
        <v>1</v>
      </c>
      <c r="F21" s="32"/>
      <c r="G21" s="24">
        <f t="shared" si="0"/>
        <v>1</v>
      </c>
    </row>
    <row r="22" spans="1:7" ht="16.05" customHeight="1" x14ac:dyDescent="0.3">
      <c r="A22" s="33" t="s">
        <v>47</v>
      </c>
      <c r="B22" s="34" t="s">
        <v>290</v>
      </c>
      <c r="C22" s="29" t="s">
        <v>16</v>
      </c>
      <c r="D22" s="30"/>
      <c r="E22" s="31"/>
      <c r="F22" s="32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workbookViewId="0">
      <pane ySplit="2" topLeftCell="A3" activePane="bottomLeft" state="frozen"/>
      <selection pane="bottomLeft" activeCell="H15" sqref="H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7" t="s">
        <v>69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/>
      <c r="D3" s="70" t="s">
        <v>16</v>
      </c>
      <c r="E3" s="31"/>
      <c r="F3" s="32"/>
      <c r="G3" s="24">
        <f t="shared" ref="G3:G23" si="0">MAX(0,IF(E3="",0,E3)-IF(F3="",0,F3))</f>
        <v>0</v>
      </c>
    </row>
    <row r="4" spans="1:7" ht="16.05" customHeight="1" x14ac:dyDescent="0.3">
      <c r="A4" s="33" t="s">
        <v>10</v>
      </c>
      <c r="B4" s="34" t="s">
        <v>291</v>
      </c>
      <c r="C4" s="29"/>
      <c r="D4" s="70" t="s">
        <v>16</v>
      </c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292</v>
      </c>
      <c r="C5" s="29" t="s">
        <v>16</v>
      </c>
      <c r="D5" s="70"/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293</v>
      </c>
      <c r="C6" s="29"/>
      <c r="D6" s="70" t="s">
        <v>16</v>
      </c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294</v>
      </c>
      <c r="C7" s="29" t="s">
        <v>16</v>
      </c>
      <c r="D7" s="70"/>
      <c r="E7" s="31">
        <v>1</v>
      </c>
      <c r="F7" s="32"/>
      <c r="G7" s="24">
        <f t="shared" si="0"/>
        <v>1</v>
      </c>
    </row>
    <row r="8" spans="1:7" ht="16.05" customHeight="1" x14ac:dyDescent="0.3">
      <c r="A8" s="33" t="s">
        <v>19</v>
      </c>
      <c r="B8" s="34" t="s">
        <v>295</v>
      </c>
      <c r="C8" s="29"/>
      <c r="D8" s="70"/>
      <c r="E8" s="31">
        <v>1</v>
      </c>
      <c r="F8" s="32"/>
      <c r="G8" s="24">
        <f t="shared" si="0"/>
        <v>1</v>
      </c>
    </row>
    <row r="9" spans="1:7" ht="16.05" customHeight="1" x14ac:dyDescent="0.3">
      <c r="A9" s="27" t="s">
        <v>21</v>
      </c>
      <c r="B9" s="28" t="s">
        <v>296</v>
      </c>
      <c r="C9" s="29"/>
      <c r="D9" s="70" t="s">
        <v>16</v>
      </c>
      <c r="E9" s="31"/>
      <c r="F9" s="32"/>
      <c r="G9" s="24">
        <f t="shared" si="0"/>
        <v>0</v>
      </c>
    </row>
    <row r="10" spans="1:7" ht="16.05" customHeight="1" x14ac:dyDescent="0.3">
      <c r="A10" s="35" t="s">
        <v>23</v>
      </c>
      <c r="B10" s="36" t="s">
        <v>743</v>
      </c>
      <c r="C10" s="37"/>
      <c r="D10" s="68" t="s">
        <v>16</v>
      </c>
      <c r="E10" s="39"/>
      <c r="F10" s="40"/>
      <c r="G10" s="41">
        <f t="shared" si="0"/>
        <v>0</v>
      </c>
    </row>
    <row r="11" spans="1:7" ht="16.05" customHeight="1" x14ac:dyDescent="0.3">
      <c r="A11" s="27" t="s">
        <v>25</v>
      </c>
      <c r="B11" s="28" t="s">
        <v>297</v>
      </c>
      <c r="C11" s="29" t="s">
        <v>16</v>
      </c>
      <c r="D11" s="70"/>
      <c r="E11" s="31">
        <v>2</v>
      </c>
      <c r="F11" s="32"/>
      <c r="G11" s="24">
        <f t="shared" si="0"/>
        <v>2</v>
      </c>
    </row>
    <row r="12" spans="1:7" ht="16.05" customHeight="1" x14ac:dyDescent="0.3">
      <c r="A12" s="33" t="s">
        <v>27</v>
      </c>
      <c r="B12" s="34" t="s">
        <v>298</v>
      </c>
      <c r="C12" s="29"/>
      <c r="D12" s="70"/>
      <c r="E12" s="31">
        <v>1</v>
      </c>
      <c r="F12" s="32"/>
      <c r="G12" s="24">
        <f t="shared" si="0"/>
        <v>1</v>
      </c>
    </row>
    <row r="13" spans="1:7" ht="16.05" customHeight="1" x14ac:dyDescent="0.3">
      <c r="A13" s="27" t="s">
        <v>29</v>
      </c>
      <c r="B13" s="28" t="s">
        <v>299</v>
      </c>
      <c r="C13" s="29" t="s">
        <v>16</v>
      </c>
      <c r="D13" s="70"/>
      <c r="E13" s="31">
        <v>1</v>
      </c>
      <c r="F13" s="32"/>
      <c r="G13" s="24">
        <f t="shared" si="0"/>
        <v>1</v>
      </c>
    </row>
    <row r="14" spans="1:7" ht="16.05" customHeight="1" x14ac:dyDescent="0.3">
      <c r="A14" s="33" t="s">
        <v>31</v>
      </c>
      <c r="B14" s="34" t="s">
        <v>300</v>
      </c>
      <c r="C14" s="29" t="s">
        <v>16</v>
      </c>
      <c r="D14" s="70"/>
      <c r="E14" s="31">
        <v>1</v>
      </c>
      <c r="F14" s="32"/>
      <c r="G14" s="24">
        <f t="shared" si="0"/>
        <v>1</v>
      </c>
    </row>
    <row r="15" spans="1:7" ht="16.05" customHeight="1" x14ac:dyDescent="0.3">
      <c r="A15" s="42" t="s">
        <v>33</v>
      </c>
      <c r="B15" s="43" t="s">
        <v>744</v>
      </c>
      <c r="C15" s="37"/>
      <c r="D15" s="68" t="s">
        <v>16</v>
      </c>
      <c r="E15" s="39"/>
      <c r="F15" s="40"/>
      <c r="G15" s="41">
        <f t="shared" si="0"/>
        <v>0</v>
      </c>
    </row>
    <row r="16" spans="1:7" ht="16.05" customHeight="1" x14ac:dyDescent="0.3">
      <c r="A16" s="33" t="s">
        <v>150</v>
      </c>
      <c r="B16" s="34" t="s">
        <v>301</v>
      </c>
      <c r="C16" s="29"/>
      <c r="D16" s="70"/>
      <c r="E16" s="31"/>
      <c r="F16" s="32"/>
      <c r="G16" s="24">
        <f t="shared" si="0"/>
        <v>0</v>
      </c>
    </row>
    <row r="17" spans="1:7" ht="16.05" customHeight="1" x14ac:dyDescent="0.3">
      <c r="A17" s="27" t="s">
        <v>152</v>
      </c>
      <c r="B17" s="28" t="s">
        <v>302</v>
      </c>
      <c r="C17" s="29" t="s">
        <v>16</v>
      </c>
      <c r="D17" s="70"/>
      <c r="E17" s="31"/>
      <c r="F17" s="32"/>
      <c r="G17" s="24">
        <f t="shared" si="0"/>
        <v>0</v>
      </c>
    </row>
    <row r="18" spans="1:7" ht="16.05" customHeight="1" x14ac:dyDescent="0.3">
      <c r="A18" s="33" t="s">
        <v>37</v>
      </c>
      <c r="B18" s="34" t="s">
        <v>303</v>
      </c>
      <c r="C18" s="29"/>
      <c r="D18" s="70" t="s">
        <v>16</v>
      </c>
      <c r="E18" s="31"/>
      <c r="F18" s="32"/>
      <c r="G18" s="24">
        <f t="shared" si="0"/>
        <v>0</v>
      </c>
    </row>
    <row r="19" spans="1:7" ht="16.05" customHeight="1" x14ac:dyDescent="0.3">
      <c r="A19" s="27" t="s">
        <v>39</v>
      </c>
      <c r="B19" s="28" t="s">
        <v>304</v>
      </c>
      <c r="C19" s="29"/>
      <c r="D19" s="70"/>
      <c r="E19" s="31"/>
      <c r="F19" s="32"/>
      <c r="G19" s="24">
        <f t="shared" si="0"/>
        <v>0</v>
      </c>
    </row>
    <row r="20" spans="1:7" ht="16.05" customHeight="1" x14ac:dyDescent="0.3">
      <c r="A20" s="33" t="s">
        <v>41</v>
      </c>
      <c r="B20" s="34" t="s">
        <v>305</v>
      </c>
      <c r="C20" s="29" t="s">
        <v>16</v>
      </c>
      <c r="D20" s="70"/>
      <c r="E20" s="31">
        <v>2</v>
      </c>
      <c r="F20" s="32"/>
      <c r="G20" s="24">
        <f t="shared" si="0"/>
        <v>2</v>
      </c>
    </row>
    <row r="21" spans="1:7" ht="16.05" customHeight="1" x14ac:dyDescent="0.3">
      <c r="A21" s="27" t="s">
        <v>43</v>
      </c>
      <c r="B21" s="28" t="s">
        <v>306</v>
      </c>
      <c r="C21" s="29" t="s">
        <v>16</v>
      </c>
      <c r="D21" s="70"/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307</v>
      </c>
      <c r="C22" s="29" t="s">
        <v>16</v>
      </c>
      <c r="D22" s="70"/>
      <c r="E22" s="31">
        <v>1</v>
      </c>
      <c r="F22" s="32"/>
      <c r="G22" s="24">
        <f t="shared" si="0"/>
        <v>1</v>
      </c>
    </row>
    <row r="23" spans="1:7" ht="16.05" customHeight="1" x14ac:dyDescent="0.3">
      <c r="A23" s="27" t="s">
        <v>47</v>
      </c>
      <c r="B23" s="28" t="s">
        <v>745</v>
      </c>
      <c r="C23" s="29"/>
      <c r="D23" s="70" t="s">
        <v>16</v>
      </c>
      <c r="E23" s="31"/>
      <c r="F23" s="32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"/>
  <sheetViews>
    <sheetView workbookViewId="0">
      <pane ySplit="2" topLeftCell="A3" activePane="bottomLeft" state="frozen"/>
      <selection pane="bottomLeft" activeCell="B16" sqref="B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8" t="s">
        <v>70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>
        <v>2</v>
      </c>
      <c r="F3" s="23"/>
      <c r="G3" s="24">
        <f t="shared" ref="G3:G25" si="0">MAX(0,IF(E3="",0,E3)-IF(F3="",0,F3))</f>
        <v>2</v>
      </c>
    </row>
    <row r="4" spans="1:7" ht="16.05" customHeight="1" x14ac:dyDescent="0.3">
      <c r="A4" s="25" t="s">
        <v>10</v>
      </c>
      <c r="B4" s="26" t="s">
        <v>308</v>
      </c>
      <c r="C4" s="20" t="s">
        <v>16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309</v>
      </c>
      <c r="C5" s="20" t="s">
        <v>16</v>
      </c>
      <c r="D5" s="21"/>
      <c r="E5" s="22">
        <v>1</v>
      </c>
      <c r="F5" s="23"/>
      <c r="G5" s="24">
        <f t="shared" si="0"/>
        <v>1</v>
      </c>
    </row>
    <row r="6" spans="1:7" ht="16.05" customHeight="1" x14ac:dyDescent="0.3">
      <c r="A6" s="25" t="s">
        <v>14</v>
      </c>
      <c r="B6" s="26" t="s">
        <v>310</v>
      </c>
      <c r="C6" s="20"/>
      <c r="D6" s="21" t="s">
        <v>16</v>
      </c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311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312</v>
      </c>
      <c r="C8" s="20" t="s">
        <v>16</v>
      </c>
      <c r="D8" s="21"/>
      <c r="E8" s="22">
        <v>1</v>
      </c>
      <c r="F8" s="23"/>
      <c r="G8" s="24">
        <f t="shared" si="0"/>
        <v>1</v>
      </c>
    </row>
    <row r="9" spans="1:7" ht="16.05" customHeight="1" x14ac:dyDescent="0.3">
      <c r="A9" s="18" t="s">
        <v>21</v>
      </c>
      <c r="B9" s="19" t="s">
        <v>313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23</v>
      </c>
      <c r="B10" s="26" t="s">
        <v>314</v>
      </c>
      <c r="C10" s="20"/>
      <c r="D10" s="21" t="s">
        <v>16</v>
      </c>
      <c r="E10" s="22"/>
      <c r="F10" s="23"/>
      <c r="G10" s="24">
        <f t="shared" si="0"/>
        <v>0</v>
      </c>
    </row>
    <row r="11" spans="1:7" ht="16.05" customHeight="1" x14ac:dyDescent="0.3">
      <c r="A11" s="18" t="s">
        <v>25</v>
      </c>
      <c r="B11" s="19" t="s">
        <v>315</v>
      </c>
      <c r="C11" s="20" t="s">
        <v>16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316</v>
      </c>
      <c r="B12" s="26" t="s">
        <v>317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318</v>
      </c>
      <c r="B13" s="19" t="s">
        <v>319</v>
      </c>
      <c r="C13" s="20"/>
      <c r="D13" s="21"/>
      <c r="E13" s="22">
        <v>1</v>
      </c>
      <c r="F13" s="23"/>
      <c r="G13" s="24">
        <f t="shared" si="0"/>
        <v>1</v>
      </c>
    </row>
    <row r="14" spans="1:7" ht="16.05" customHeight="1" x14ac:dyDescent="0.3">
      <c r="A14" s="25" t="s">
        <v>29</v>
      </c>
      <c r="B14" s="26" t="s">
        <v>320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31</v>
      </c>
      <c r="B15" s="19" t="s">
        <v>321</v>
      </c>
      <c r="C15" s="20"/>
      <c r="D15" s="21" t="s">
        <v>16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33</v>
      </c>
      <c r="B16" s="26" t="s">
        <v>322</v>
      </c>
      <c r="C16" s="20" t="s">
        <v>16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35</v>
      </c>
      <c r="B17" s="19" t="s">
        <v>323</v>
      </c>
      <c r="C17" s="20"/>
      <c r="D17" s="21" t="s">
        <v>16</v>
      </c>
      <c r="E17" s="22"/>
      <c r="F17" s="23"/>
      <c r="G17" s="24">
        <f t="shared" si="0"/>
        <v>0</v>
      </c>
    </row>
    <row r="18" spans="1:7" ht="16.05" customHeight="1" x14ac:dyDescent="0.3">
      <c r="A18" s="25" t="s">
        <v>324</v>
      </c>
      <c r="B18" s="26" t="s">
        <v>325</v>
      </c>
      <c r="C18" s="20" t="s">
        <v>16</v>
      </c>
      <c r="D18" s="21"/>
      <c r="E18" s="22">
        <v>1</v>
      </c>
      <c r="F18" s="23"/>
      <c r="G18" s="24">
        <f t="shared" si="0"/>
        <v>1</v>
      </c>
    </row>
    <row r="19" spans="1:7" ht="16.05" customHeight="1" x14ac:dyDescent="0.3">
      <c r="A19" s="18" t="s">
        <v>326</v>
      </c>
      <c r="B19" s="19" t="s">
        <v>327</v>
      </c>
      <c r="C19" s="20"/>
      <c r="D19" s="21"/>
      <c r="E19" s="22">
        <v>1</v>
      </c>
      <c r="F19" s="23"/>
      <c r="G19" s="24">
        <f t="shared" si="0"/>
        <v>1</v>
      </c>
    </row>
    <row r="20" spans="1:7" ht="16.05" customHeight="1" x14ac:dyDescent="0.3">
      <c r="A20" s="25" t="s">
        <v>328</v>
      </c>
      <c r="B20" s="26" t="s">
        <v>329</v>
      </c>
      <c r="C20" s="20"/>
      <c r="D20" s="21"/>
      <c r="E20" s="22">
        <v>1</v>
      </c>
      <c r="F20" s="23"/>
      <c r="G20" s="24">
        <f t="shared" si="0"/>
        <v>1</v>
      </c>
    </row>
    <row r="21" spans="1:7" ht="16.05" customHeight="1" x14ac:dyDescent="0.3">
      <c r="A21" s="18" t="s">
        <v>330</v>
      </c>
      <c r="B21" s="19" t="s">
        <v>331</v>
      </c>
      <c r="C21" s="20" t="s">
        <v>16</v>
      </c>
      <c r="D21" s="21"/>
      <c r="E21" s="22">
        <v>1</v>
      </c>
      <c r="F21" s="23"/>
      <c r="G21" s="24">
        <f t="shared" si="0"/>
        <v>1</v>
      </c>
    </row>
    <row r="22" spans="1:7" ht="16.05" customHeight="1" x14ac:dyDescent="0.3">
      <c r="A22" s="25" t="s">
        <v>41</v>
      </c>
      <c r="B22" s="26" t="s">
        <v>332</v>
      </c>
      <c r="C22" s="20"/>
      <c r="D22" s="21"/>
      <c r="E22" s="22">
        <v>2</v>
      </c>
      <c r="F22" s="23"/>
      <c r="G22" s="24">
        <f t="shared" si="0"/>
        <v>2</v>
      </c>
    </row>
    <row r="23" spans="1:7" ht="16.05" customHeight="1" x14ac:dyDescent="0.3">
      <c r="A23" s="18" t="s">
        <v>43</v>
      </c>
      <c r="B23" s="19" t="s">
        <v>333</v>
      </c>
      <c r="C23" s="20" t="s">
        <v>16</v>
      </c>
      <c r="D23" s="21"/>
      <c r="E23" s="22"/>
      <c r="F23" s="23"/>
      <c r="G23" s="24">
        <f t="shared" si="0"/>
        <v>0</v>
      </c>
    </row>
    <row r="24" spans="1:7" ht="16.05" customHeight="1" x14ac:dyDescent="0.3">
      <c r="A24" s="25" t="s">
        <v>45</v>
      </c>
      <c r="B24" s="26" t="s">
        <v>334</v>
      </c>
      <c r="C24" s="20" t="s">
        <v>16</v>
      </c>
      <c r="D24" s="21"/>
      <c r="E24" s="22">
        <v>2</v>
      </c>
      <c r="F24" s="23"/>
      <c r="G24" s="24">
        <f t="shared" si="0"/>
        <v>2</v>
      </c>
    </row>
    <row r="25" spans="1:7" ht="16.05" customHeight="1" x14ac:dyDescent="0.3">
      <c r="A25" s="18" t="s">
        <v>47</v>
      </c>
      <c r="B25" s="19" t="s">
        <v>335</v>
      </c>
      <c r="C25" s="20" t="s">
        <v>16</v>
      </c>
      <c r="D25" s="21"/>
      <c r="E25" s="22">
        <v>2</v>
      </c>
      <c r="F25" s="23"/>
      <c r="G25" s="24">
        <f t="shared" si="0"/>
        <v>2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workbookViewId="0">
      <pane ySplit="2" topLeftCell="A3" activePane="bottomLeft" state="frozen"/>
      <selection pane="bottomLeft" activeCell="I9" sqref="I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4" t="s">
        <v>71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70"/>
      <c r="E3" s="31"/>
      <c r="F3" s="32"/>
      <c r="G3" s="24">
        <f t="shared" ref="G3:G23" si="0">MAX(0,IF(E3="",0,E3)-IF(F3="",0,F3))</f>
        <v>0</v>
      </c>
    </row>
    <row r="4" spans="1:7" ht="16.05" customHeight="1" x14ac:dyDescent="0.3">
      <c r="A4" s="33" t="s">
        <v>10</v>
      </c>
      <c r="B4" s="34" t="s">
        <v>336</v>
      </c>
      <c r="C4" s="29" t="s">
        <v>16</v>
      </c>
      <c r="D4" s="70"/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337</v>
      </c>
      <c r="C5" s="29" t="s">
        <v>16</v>
      </c>
      <c r="D5" s="70"/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338</v>
      </c>
      <c r="C6" s="29" t="s">
        <v>16</v>
      </c>
      <c r="D6" s="7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339</v>
      </c>
      <c r="C7" s="29" t="s">
        <v>16</v>
      </c>
      <c r="D7" s="70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340</v>
      </c>
      <c r="C8" s="29" t="s">
        <v>16</v>
      </c>
      <c r="D8" s="70"/>
      <c r="E8" s="31">
        <v>1</v>
      </c>
      <c r="F8" s="32"/>
      <c r="G8" s="24">
        <f t="shared" si="0"/>
        <v>1</v>
      </c>
    </row>
    <row r="9" spans="1:7" ht="16.05" customHeight="1" x14ac:dyDescent="0.3">
      <c r="A9" s="42" t="s">
        <v>21</v>
      </c>
      <c r="B9" s="43" t="s">
        <v>746</v>
      </c>
      <c r="C9" s="37"/>
      <c r="D9" s="68" t="s">
        <v>16</v>
      </c>
      <c r="E9" s="39"/>
      <c r="F9" s="40"/>
      <c r="G9" s="41">
        <f t="shared" si="0"/>
        <v>0</v>
      </c>
    </row>
    <row r="10" spans="1:7" ht="16.05" customHeight="1" x14ac:dyDescent="0.3">
      <c r="A10" s="33" t="s">
        <v>23</v>
      </c>
      <c r="B10" s="34" t="s">
        <v>341</v>
      </c>
      <c r="C10" s="29" t="s">
        <v>16</v>
      </c>
      <c r="D10" s="70"/>
      <c r="E10" s="31">
        <v>1</v>
      </c>
      <c r="F10" s="32"/>
      <c r="G10" s="24">
        <f t="shared" si="0"/>
        <v>1</v>
      </c>
    </row>
    <row r="11" spans="1:7" ht="16.05" customHeight="1" x14ac:dyDescent="0.3">
      <c r="A11" s="27" t="s">
        <v>25</v>
      </c>
      <c r="B11" s="28" t="s">
        <v>342</v>
      </c>
      <c r="C11" s="29" t="s">
        <v>16</v>
      </c>
      <c r="D11" s="70"/>
      <c r="E11" s="31"/>
      <c r="F11" s="32"/>
      <c r="G11" s="24">
        <f t="shared" si="0"/>
        <v>0</v>
      </c>
    </row>
    <row r="12" spans="1:7" ht="16.05" customHeight="1" x14ac:dyDescent="0.3">
      <c r="A12" s="35" t="s">
        <v>27</v>
      </c>
      <c r="B12" s="36" t="s">
        <v>747</v>
      </c>
      <c r="C12" s="37"/>
      <c r="D12" s="68" t="s">
        <v>16</v>
      </c>
      <c r="E12" s="39"/>
      <c r="F12" s="40"/>
      <c r="G12" s="41">
        <f t="shared" si="0"/>
        <v>0</v>
      </c>
    </row>
    <row r="13" spans="1:7" ht="16.05" customHeight="1" x14ac:dyDescent="0.3">
      <c r="A13" s="27" t="s">
        <v>29</v>
      </c>
      <c r="B13" s="28" t="s">
        <v>343</v>
      </c>
      <c r="C13" s="29"/>
      <c r="D13" s="70" t="s">
        <v>16</v>
      </c>
      <c r="E13" s="31"/>
      <c r="F13" s="32"/>
      <c r="G13" s="24">
        <f t="shared" si="0"/>
        <v>0</v>
      </c>
    </row>
    <row r="14" spans="1:7" ht="16.05" customHeight="1" x14ac:dyDescent="0.3">
      <c r="A14" s="33" t="s">
        <v>31</v>
      </c>
      <c r="B14" s="34" t="s">
        <v>344</v>
      </c>
      <c r="C14" s="29" t="s">
        <v>16</v>
      </c>
      <c r="D14" s="70"/>
      <c r="E14" s="31"/>
      <c r="F14" s="32"/>
      <c r="G14" s="24">
        <f t="shared" si="0"/>
        <v>0</v>
      </c>
    </row>
    <row r="15" spans="1:7" ht="16.05" customHeight="1" x14ac:dyDescent="0.3">
      <c r="A15" s="27" t="s">
        <v>249</v>
      </c>
      <c r="B15" s="28" t="s">
        <v>345</v>
      </c>
      <c r="C15" s="29"/>
      <c r="D15" s="70" t="s">
        <v>16</v>
      </c>
      <c r="E15" s="31"/>
      <c r="F15" s="32"/>
      <c r="G15" s="24">
        <f t="shared" si="0"/>
        <v>0</v>
      </c>
    </row>
    <row r="16" spans="1:7" ht="16.05" customHeight="1" x14ac:dyDescent="0.3">
      <c r="A16" s="33" t="s">
        <v>251</v>
      </c>
      <c r="B16" s="34" t="s">
        <v>346</v>
      </c>
      <c r="C16" s="29"/>
      <c r="D16" s="70"/>
      <c r="E16" s="31">
        <v>1</v>
      </c>
      <c r="F16" s="32"/>
      <c r="G16" s="24">
        <f t="shared" si="0"/>
        <v>1</v>
      </c>
    </row>
    <row r="17" spans="1:7" ht="16.05" customHeight="1" x14ac:dyDescent="0.3">
      <c r="A17" s="27" t="s">
        <v>35</v>
      </c>
      <c r="B17" s="28" t="s">
        <v>347</v>
      </c>
      <c r="C17" s="29"/>
      <c r="D17" s="70" t="s">
        <v>16</v>
      </c>
      <c r="E17" s="31"/>
      <c r="F17" s="32"/>
      <c r="G17" s="24">
        <f t="shared" si="0"/>
        <v>0</v>
      </c>
    </row>
    <row r="18" spans="1:7" ht="16.05" customHeight="1" x14ac:dyDescent="0.3">
      <c r="A18" s="33" t="s">
        <v>37</v>
      </c>
      <c r="B18" s="34" t="s">
        <v>348</v>
      </c>
      <c r="C18" s="29"/>
      <c r="D18" s="70" t="s">
        <v>16</v>
      </c>
      <c r="E18" s="31"/>
      <c r="F18" s="32"/>
      <c r="G18" s="24">
        <f t="shared" si="0"/>
        <v>0</v>
      </c>
    </row>
    <row r="19" spans="1:7" ht="16.05" customHeight="1" x14ac:dyDescent="0.3">
      <c r="A19" s="27" t="s">
        <v>39</v>
      </c>
      <c r="B19" s="28" t="s">
        <v>349</v>
      </c>
      <c r="C19" s="29" t="s">
        <v>16</v>
      </c>
      <c r="D19" s="70"/>
      <c r="E19" s="31"/>
      <c r="F19" s="32"/>
      <c r="G19" s="24">
        <f t="shared" si="0"/>
        <v>0</v>
      </c>
    </row>
    <row r="20" spans="1:7" ht="16.05" customHeight="1" x14ac:dyDescent="0.3">
      <c r="A20" s="33" t="s">
        <v>41</v>
      </c>
      <c r="B20" s="34" t="s">
        <v>350</v>
      </c>
      <c r="C20" s="29" t="s">
        <v>16</v>
      </c>
      <c r="D20" s="70"/>
      <c r="E20" s="31"/>
      <c r="F20" s="32"/>
      <c r="G20" s="24">
        <f t="shared" si="0"/>
        <v>0</v>
      </c>
    </row>
    <row r="21" spans="1:7" ht="16.05" customHeight="1" x14ac:dyDescent="0.3">
      <c r="A21" s="27" t="s">
        <v>43</v>
      </c>
      <c r="B21" s="28" t="s">
        <v>351</v>
      </c>
      <c r="C21" s="29" t="s">
        <v>16</v>
      </c>
      <c r="D21" s="70"/>
      <c r="E21" s="31">
        <v>1</v>
      </c>
      <c r="F21" s="32"/>
      <c r="G21" s="24">
        <f t="shared" si="0"/>
        <v>1</v>
      </c>
    </row>
    <row r="22" spans="1:7" ht="16.05" customHeight="1" x14ac:dyDescent="0.3">
      <c r="A22" s="33" t="s">
        <v>45</v>
      </c>
      <c r="B22" s="34" t="s">
        <v>352</v>
      </c>
      <c r="C22" s="29" t="s">
        <v>16</v>
      </c>
      <c r="D22" s="70"/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353</v>
      </c>
      <c r="C23" s="29"/>
      <c r="D23" s="70" t="s">
        <v>16</v>
      </c>
      <c r="E23" s="31"/>
      <c r="F23" s="32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"/>
  <sheetViews>
    <sheetView workbookViewId="0">
      <pane ySplit="2" topLeftCell="A3" activePane="bottomLeft" state="frozen"/>
      <selection pane="bottomLeft" activeCell="B13" sqref="B1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0" t="s">
        <v>72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>
        <v>1</v>
      </c>
      <c r="F3" s="23"/>
      <c r="G3" s="24">
        <f t="shared" ref="G3:G24" si="0">MAX(0,IF(E3="",0,E3)-IF(F3="",0,F3))</f>
        <v>1</v>
      </c>
    </row>
    <row r="4" spans="1:7" ht="16.05" customHeight="1" x14ac:dyDescent="0.3">
      <c r="A4" s="25" t="s">
        <v>10</v>
      </c>
      <c r="B4" s="26" t="s">
        <v>354</v>
      </c>
      <c r="C4" s="20" t="s">
        <v>16</v>
      </c>
      <c r="D4" s="21"/>
      <c r="E4" s="22">
        <v>1</v>
      </c>
      <c r="F4" s="23"/>
      <c r="G4" s="24">
        <f t="shared" si="0"/>
        <v>1</v>
      </c>
    </row>
    <row r="5" spans="1:7" ht="16.05" customHeight="1" x14ac:dyDescent="0.3">
      <c r="A5" s="18" t="s">
        <v>12</v>
      </c>
      <c r="B5" s="19" t="s">
        <v>355</v>
      </c>
      <c r="C5" s="20"/>
      <c r="D5" s="21" t="s">
        <v>16</v>
      </c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356</v>
      </c>
      <c r="C6" s="20" t="s">
        <v>16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182</v>
      </c>
      <c r="B7" s="19" t="s">
        <v>357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184</v>
      </c>
      <c r="B8" s="26" t="s">
        <v>358</v>
      </c>
      <c r="C8" s="20"/>
      <c r="D8" s="21"/>
      <c r="E8" s="22">
        <v>1</v>
      </c>
      <c r="F8" s="23"/>
      <c r="G8" s="24">
        <f t="shared" si="0"/>
        <v>1</v>
      </c>
    </row>
    <row r="9" spans="1:7" ht="16.05" customHeight="1" x14ac:dyDescent="0.3">
      <c r="A9" s="18" t="s">
        <v>19</v>
      </c>
      <c r="B9" s="19" t="s">
        <v>359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21</v>
      </c>
      <c r="B10" s="26" t="s">
        <v>360</v>
      </c>
      <c r="C10" s="20" t="s">
        <v>16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23</v>
      </c>
      <c r="B11" s="19" t="s">
        <v>361</v>
      </c>
      <c r="C11" s="20" t="s">
        <v>16</v>
      </c>
      <c r="D11" s="21"/>
      <c r="E11" s="22">
        <v>3</v>
      </c>
      <c r="F11" s="23"/>
      <c r="G11" s="24">
        <f t="shared" si="0"/>
        <v>3</v>
      </c>
    </row>
    <row r="12" spans="1:7" ht="16.05" customHeight="1" x14ac:dyDescent="0.3">
      <c r="A12" s="25" t="s">
        <v>25</v>
      </c>
      <c r="B12" s="26" t="s">
        <v>362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27</v>
      </c>
      <c r="B13" s="19" t="s">
        <v>363</v>
      </c>
      <c r="C13" s="20" t="s">
        <v>16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29</v>
      </c>
      <c r="B14" s="26" t="s">
        <v>364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31</v>
      </c>
      <c r="B15" s="19" t="s">
        <v>365</v>
      </c>
      <c r="C15" s="20"/>
      <c r="D15" s="21" t="s">
        <v>16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249</v>
      </c>
      <c r="B16" s="26" t="s">
        <v>366</v>
      </c>
      <c r="C16" s="20" t="s">
        <v>16</v>
      </c>
      <c r="D16" s="21"/>
      <c r="E16" s="22">
        <v>1</v>
      </c>
      <c r="F16" s="23"/>
      <c r="G16" s="24">
        <f t="shared" si="0"/>
        <v>1</v>
      </c>
    </row>
    <row r="17" spans="1:7" ht="16.05" customHeight="1" x14ac:dyDescent="0.3">
      <c r="A17" s="18" t="s">
        <v>251</v>
      </c>
      <c r="B17" s="19" t="s">
        <v>367</v>
      </c>
      <c r="C17" s="20"/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35</v>
      </c>
      <c r="B18" s="26" t="s">
        <v>368</v>
      </c>
      <c r="C18" s="20" t="s">
        <v>16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37</v>
      </c>
      <c r="B19" s="19" t="s">
        <v>369</v>
      </c>
      <c r="C19" s="20"/>
      <c r="D19" s="21" t="s">
        <v>16</v>
      </c>
      <c r="E19" s="22"/>
      <c r="F19" s="23"/>
      <c r="G19" s="24">
        <f t="shared" si="0"/>
        <v>0</v>
      </c>
    </row>
    <row r="20" spans="1:7" ht="16.05" customHeight="1" x14ac:dyDescent="0.3">
      <c r="A20" s="25" t="s">
        <v>39</v>
      </c>
      <c r="B20" s="26" t="s">
        <v>370</v>
      </c>
      <c r="C20" s="20"/>
      <c r="D20" s="21"/>
      <c r="E20" s="22">
        <v>1</v>
      </c>
      <c r="F20" s="23"/>
      <c r="G20" s="24">
        <f t="shared" si="0"/>
        <v>1</v>
      </c>
    </row>
    <row r="21" spans="1:7" ht="16.05" customHeight="1" x14ac:dyDescent="0.3">
      <c r="A21" s="18" t="s">
        <v>41</v>
      </c>
      <c r="B21" s="19" t="s">
        <v>371</v>
      </c>
      <c r="C21" s="20"/>
      <c r="D21" s="21" t="s">
        <v>16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43</v>
      </c>
      <c r="B22" s="26" t="s">
        <v>372</v>
      </c>
      <c r="C22" s="20"/>
      <c r="D22" s="21" t="s">
        <v>16</v>
      </c>
      <c r="E22" s="22"/>
      <c r="F22" s="23"/>
      <c r="G22" s="24">
        <f t="shared" si="0"/>
        <v>0</v>
      </c>
    </row>
    <row r="23" spans="1:7" ht="16.05" customHeight="1" x14ac:dyDescent="0.3">
      <c r="A23" s="18" t="s">
        <v>45</v>
      </c>
      <c r="B23" s="19" t="s">
        <v>373</v>
      </c>
      <c r="C23" s="20"/>
      <c r="D23" s="21" t="s">
        <v>16</v>
      </c>
      <c r="E23" s="22"/>
      <c r="F23" s="23"/>
      <c r="G23" s="24">
        <f t="shared" si="0"/>
        <v>0</v>
      </c>
    </row>
    <row r="24" spans="1:7" ht="16.05" customHeight="1" x14ac:dyDescent="0.3">
      <c r="A24" s="25" t="s">
        <v>47</v>
      </c>
      <c r="B24" s="26" t="s">
        <v>374</v>
      </c>
      <c r="C24" s="20"/>
      <c r="D24" s="21" t="s">
        <v>16</v>
      </c>
      <c r="E24" s="22"/>
      <c r="F24" s="23"/>
      <c r="G2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workbookViewId="0">
      <pane ySplit="2" topLeftCell="A3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5" t="s">
        <v>73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70"/>
      <c r="E3" s="31"/>
      <c r="F3" s="32"/>
      <c r="G3" s="24">
        <f t="shared" ref="G3:G23" si="0">MAX(0,IF(E3="",0,E3)-IF(F3="",0,F3))</f>
        <v>0</v>
      </c>
    </row>
    <row r="4" spans="1:7" ht="16.05" customHeight="1" x14ac:dyDescent="0.3">
      <c r="A4" s="33" t="s">
        <v>10</v>
      </c>
      <c r="B4" s="34" t="s">
        <v>375</v>
      </c>
      <c r="C4" s="29" t="s">
        <v>16</v>
      </c>
      <c r="D4" s="70"/>
      <c r="E4" s="31"/>
      <c r="F4" s="32"/>
      <c r="G4" s="24">
        <f t="shared" si="0"/>
        <v>0</v>
      </c>
    </row>
    <row r="5" spans="1:7" ht="16.05" customHeight="1" x14ac:dyDescent="0.3">
      <c r="A5" s="42" t="s">
        <v>12</v>
      </c>
      <c r="B5" s="43"/>
      <c r="C5" s="37"/>
      <c r="D5" s="68" t="s">
        <v>16</v>
      </c>
      <c r="E5" s="39"/>
      <c r="F5" s="40"/>
      <c r="G5" s="41">
        <f t="shared" si="0"/>
        <v>0</v>
      </c>
    </row>
    <row r="6" spans="1:7" ht="16.05" customHeight="1" x14ac:dyDescent="0.3">
      <c r="A6" s="33" t="s">
        <v>14</v>
      </c>
      <c r="B6" s="34" t="s">
        <v>376</v>
      </c>
      <c r="C6" s="29" t="s">
        <v>16</v>
      </c>
      <c r="D6" s="7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377</v>
      </c>
      <c r="C7" s="29" t="s">
        <v>16</v>
      </c>
      <c r="D7" s="70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378</v>
      </c>
      <c r="C8" s="29"/>
      <c r="D8" s="70"/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379</v>
      </c>
      <c r="C9" s="29" t="s">
        <v>16</v>
      </c>
      <c r="D9" s="70"/>
      <c r="E9" s="31"/>
      <c r="F9" s="32"/>
      <c r="G9" s="24">
        <f t="shared" si="0"/>
        <v>0</v>
      </c>
    </row>
    <row r="10" spans="1:7" ht="16.05" customHeight="1" x14ac:dyDescent="0.3">
      <c r="A10" s="33" t="s">
        <v>23</v>
      </c>
      <c r="B10" s="34" t="s">
        <v>380</v>
      </c>
      <c r="C10" s="29"/>
      <c r="D10" s="70"/>
      <c r="E10" s="31"/>
      <c r="F10" s="32"/>
      <c r="G10" s="24">
        <f t="shared" si="0"/>
        <v>0</v>
      </c>
    </row>
    <row r="11" spans="1:7" ht="16.05" customHeight="1" x14ac:dyDescent="0.3">
      <c r="A11" s="27" t="s">
        <v>117</v>
      </c>
      <c r="B11" s="28" t="s">
        <v>381</v>
      </c>
      <c r="C11" s="71"/>
      <c r="D11" s="70" t="s">
        <v>16</v>
      </c>
      <c r="E11" s="31"/>
      <c r="F11" s="32"/>
      <c r="G11" s="24">
        <f t="shared" si="0"/>
        <v>0</v>
      </c>
    </row>
    <row r="12" spans="1:7" ht="16.05" customHeight="1" x14ac:dyDescent="0.3">
      <c r="A12" s="33" t="s">
        <v>119</v>
      </c>
      <c r="B12" s="34" t="s">
        <v>382</v>
      </c>
      <c r="C12" s="29" t="s">
        <v>16</v>
      </c>
      <c r="D12" s="70"/>
      <c r="E12" s="31">
        <v>1</v>
      </c>
      <c r="F12" s="32"/>
      <c r="G12" s="24">
        <f t="shared" si="0"/>
        <v>1</v>
      </c>
    </row>
    <row r="13" spans="1:7" ht="16.05" customHeight="1" x14ac:dyDescent="0.3">
      <c r="A13" s="27" t="s">
        <v>27</v>
      </c>
      <c r="B13" s="28" t="s">
        <v>383</v>
      </c>
      <c r="C13" s="29"/>
      <c r="D13" s="70" t="s">
        <v>16</v>
      </c>
      <c r="E13" s="31"/>
      <c r="F13" s="32"/>
      <c r="G13" s="24">
        <f t="shared" si="0"/>
        <v>0</v>
      </c>
    </row>
    <row r="14" spans="1:7" ht="16.05" customHeight="1" x14ac:dyDescent="0.3">
      <c r="A14" s="33" t="s">
        <v>29</v>
      </c>
      <c r="B14" s="34" t="s">
        <v>384</v>
      </c>
      <c r="C14" s="29" t="s">
        <v>16</v>
      </c>
      <c r="D14" s="70"/>
      <c r="E14" s="31">
        <v>1</v>
      </c>
      <c r="F14" s="32"/>
      <c r="G14" s="24">
        <f t="shared" si="0"/>
        <v>1</v>
      </c>
    </row>
    <row r="15" spans="1:7" ht="16.05" customHeight="1" x14ac:dyDescent="0.3">
      <c r="A15" s="27" t="s">
        <v>31</v>
      </c>
      <c r="B15" s="28" t="s">
        <v>385</v>
      </c>
      <c r="C15" s="29" t="s">
        <v>16</v>
      </c>
      <c r="D15" s="70"/>
      <c r="E15" s="31"/>
      <c r="F15" s="32"/>
      <c r="G15" s="24">
        <f t="shared" si="0"/>
        <v>0</v>
      </c>
    </row>
    <row r="16" spans="1:7" ht="16.05" customHeight="1" x14ac:dyDescent="0.3">
      <c r="A16" s="33" t="s">
        <v>33</v>
      </c>
      <c r="B16" s="34" t="s">
        <v>386</v>
      </c>
      <c r="C16" s="29" t="s">
        <v>16</v>
      </c>
      <c r="D16" s="70"/>
      <c r="E16" s="31"/>
      <c r="F16" s="32"/>
      <c r="G16" s="24">
        <f t="shared" si="0"/>
        <v>0</v>
      </c>
    </row>
    <row r="17" spans="1:7" ht="16.05" customHeight="1" x14ac:dyDescent="0.3">
      <c r="A17" s="27" t="s">
        <v>35</v>
      </c>
      <c r="B17" s="28" t="s">
        <v>387</v>
      </c>
      <c r="C17" s="29"/>
      <c r="D17" s="70"/>
      <c r="E17" s="31">
        <v>1</v>
      </c>
      <c r="F17" s="32"/>
      <c r="G17" s="24">
        <f t="shared" si="0"/>
        <v>1</v>
      </c>
    </row>
    <row r="18" spans="1:7" ht="16.05" customHeight="1" x14ac:dyDescent="0.3">
      <c r="A18" s="33" t="s">
        <v>37</v>
      </c>
      <c r="B18" s="34" t="s">
        <v>388</v>
      </c>
      <c r="C18" s="29"/>
      <c r="D18" s="70"/>
      <c r="E18" s="31">
        <v>2</v>
      </c>
      <c r="F18" s="32"/>
      <c r="G18" s="24">
        <f t="shared" si="0"/>
        <v>2</v>
      </c>
    </row>
    <row r="19" spans="1:7" ht="16.05" customHeight="1" x14ac:dyDescent="0.3">
      <c r="A19" s="27" t="s">
        <v>39</v>
      </c>
      <c r="B19" s="28" t="s">
        <v>389</v>
      </c>
      <c r="C19" s="29" t="s">
        <v>16</v>
      </c>
      <c r="D19" s="70"/>
      <c r="E19" s="31"/>
      <c r="F19" s="32"/>
      <c r="G19" s="24">
        <f t="shared" si="0"/>
        <v>0</v>
      </c>
    </row>
    <row r="20" spans="1:7" ht="16.05" customHeight="1" x14ac:dyDescent="0.3">
      <c r="A20" s="33" t="s">
        <v>41</v>
      </c>
      <c r="B20" s="34" t="s">
        <v>390</v>
      </c>
      <c r="C20" s="29"/>
      <c r="D20" s="70" t="s">
        <v>16</v>
      </c>
      <c r="E20" s="31"/>
      <c r="F20" s="32"/>
      <c r="G20" s="24">
        <f t="shared" si="0"/>
        <v>0</v>
      </c>
    </row>
    <row r="21" spans="1:7" ht="16.05" customHeight="1" x14ac:dyDescent="0.3">
      <c r="A21" s="27" t="s">
        <v>43</v>
      </c>
      <c r="B21" s="28" t="s">
        <v>391</v>
      </c>
      <c r="C21" s="29"/>
      <c r="D21" s="70" t="s">
        <v>16</v>
      </c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392</v>
      </c>
      <c r="C22" s="29" t="s">
        <v>16</v>
      </c>
      <c r="D22" s="70"/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393</v>
      </c>
      <c r="C23" s="29" t="s">
        <v>16</v>
      </c>
      <c r="D23" s="70"/>
      <c r="E23" s="31"/>
      <c r="F23" s="32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"/>
  <sheetViews>
    <sheetView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9" t="s">
        <v>74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>
        <v>1</v>
      </c>
      <c r="F3" s="23"/>
      <c r="G3" s="24">
        <f t="shared" ref="G3:G23" si="0">MAX(0,IF(E3="",0,E3)-IF(F3="",0,F3))</f>
        <v>1</v>
      </c>
    </row>
    <row r="4" spans="1:7" ht="16.05" customHeight="1" x14ac:dyDescent="0.3">
      <c r="A4" s="25" t="s">
        <v>10</v>
      </c>
      <c r="B4" s="26" t="s">
        <v>394</v>
      </c>
      <c r="C4" s="20" t="s">
        <v>16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395</v>
      </c>
      <c r="C5" s="20" t="s">
        <v>16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396</v>
      </c>
      <c r="C6" s="20"/>
      <c r="D6" s="21" t="s">
        <v>16</v>
      </c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397</v>
      </c>
      <c r="C7" s="20" t="s">
        <v>16</v>
      </c>
      <c r="D7" s="21"/>
      <c r="E7" s="22">
        <v>1</v>
      </c>
      <c r="F7" s="23"/>
      <c r="G7" s="24">
        <f t="shared" si="0"/>
        <v>1</v>
      </c>
    </row>
    <row r="8" spans="1:7" ht="16.05" customHeight="1" x14ac:dyDescent="0.3">
      <c r="A8" s="25" t="s">
        <v>19</v>
      </c>
      <c r="B8" s="26" t="s">
        <v>398</v>
      </c>
      <c r="C8" s="20"/>
      <c r="D8" s="21" t="s">
        <v>16</v>
      </c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399</v>
      </c>
      <c r="C9" s="20"/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23</v>
      </c>
      <c r="B10" s="26" t="s">
        <v>400</v>
      </c>
      <c r="C10" s="20" t="s">
        <v>16</v>
      </c>
      <c r="D10" s="21"/>
      <c r="E10" s="22">
        <v>2</v>
      </c>
      <c r="F10" s="23"/>
      <c r="G10" s="24">
        <f t="shared" si="0"/>
        <v>2</v>
      </c>
    </row>
    <row r="11" spans="1:7" ht="16.05" customHeight="1" x14ac:dyDescent="0.3">
      <c r="A11" s="18" t="s">
        <v>25</v>
      </c>
      <c r="B11" s="19" t="s">
        <v>401</v>
      </c>
      <c r="C11" s="20"/>
      <c r="D11" s="21" t="s">
        <v>16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27</v>
      </c>
      <c r="B12" s="26" t="s">
        <v>402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403</v>
      </c>
      <c r="B13" s="19" t="s">
        <v>404</v>
      </c>
      <c r="C13" s="20" t="s">
        <v>16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405</v>
      </c>
      <c r="B14" s="26" t="s">
        <v>406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31</v>
      </c>
      <c r="B15" s="19" t="s">
        <v>407</v>
      </c>
      <c r="C15" s="20" t="s">
        <v>16</v>
      </c>
      <c r="D15" s="21"/>
      <c r="E15" s="22">
        <v>1</v>
      </c>
      <c r="F15" s="23"/>
      <c r="G15" s="24">
        <f t="shared" si="0"/>
        <v>1</v>
      </c>
    </row>
    <row r="16" spans="1:7" ht="16.05" customHeight="1" x14ac:dyDescent="0.3">
      <c r="A16" s="25" t="s">
        <v>33</v>
      </c>
      <c r="B16" s="26" t="s">
        <v>408</v>
      </c>
      <c r="C16" s="20"/>
      <c r="D16" s="21" t="s">
        <v>16</v>
      </c>
      <c r="E16" s="22"/>
      <c r="F16" s="23"/>
      <c r="G16" s="24">
        <f t="shared" si="0"/>
        <v>0</v>
      </c>
    </row>
    <row r="17" spans="1:7" ht="16.05" customHeight="1" x14ac:dyDescent="0.3">
      <c r="A17" s="18" t="s">
        <v>35</v>
      </c>
      <c r="B17" s="19" t="s">
        <v>409</v>
      </c>
      <c r="C17" s="20"/>
      <c r="D17" s="21" t="s">
        <v>16</v>
      </c>
      <c r="E17" s="22"/>
      <c r="F17" s="23"/>
      <c r="G17" s="24">
        <f t="shared" si="0"/>
        <v>0</v>
      </c>
    </row>
    <row r="18" spans="1:7" ht="16.05" customHeight="1" x14ac:dyDescent="0.3">
      <c r="A18" s="25" t="s">
        <v>37</v>
      </c>
      <c r="B18" s="26" t="s">
        <v>410</v>
      </c>
      <c r="C18" s="20"/>
      <c r="D18" s="21" t="s">
        <v>16</v>
      </c>
      <c r="E18" s="22"/>
      <c r="F18" s="23"/>
      <c r="G18" s="24">
        <f t="shared" si="0"/>
        <v>0</v>
      </c>
    </row>
    <row r="19" spans="1:7" ht="16.05" customHeight="1" x14ac:dyDescent="0.3">
      <c r="A19" s="18" t="s">
        <v>39</v>
      </c>
      <c r="B19" s="19" t="s">
        <v>411</v>
      </c>
      <c r="C19" s="20"/>
      <c r="D19" s="21" t="s">
        <v>16</v>
      </c>
      <c r="E19" s="22"/>
      <c r="F19" s="23"/>
      <c r="G19" s="24">
        <f t="shared" si="0"/>
        <v>0</v>
      </c>
    </row>
    <row r="20" spans="1:7" ht="16.05" customHeight="1" x14ac:dyDescent="0.3">
      <c r="A20" s="25" t="s">
        <v>41</v>
      </c>
      <c r="B20" s="26" t="s">
        <v>412</v>
      </c>
      <c r="C20" s="20"/>
      <c r="D20" s="21" t="s">
        <v>16</v>
      </c>
      <c r="E20" s="22"/>
      <c r="F20" s="23"/>
      <c r="G20" s="24">
        <f t="shared" si="0"/>
        <v>0</v>
      </c>
    </row>
    <row r="21" spans="1:7" ht="16.05" customHeight="1" x14ac:dyDescent="0.3">
      <c r="A21" s="18" t="s">
        <v>43</v>
      </c>
      <c r="B21" s="19" t="s">
        <v>413</v>
      </c>
      <c r="C21" s="20"/>
      <c r="D21" s="21" t="s">
        <v>16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45</v>
      </c>
      <c r="B22" s="26" t="s">
        <v>414</v>
      </c>
      <c r="C22" s="20" t="s">
        <v>16</v>
      </c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47</v>
      </c>
      <c r="B23" s="19" t="s">
        <v>415</v>
      </c>
      <c r="C23" s="20" t="s">
        <v>16</v>
      </c>
      <c r="D23" s="21"/>
      <c r="E23" s="22"/>
      <c r="F23" s="23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workbookViewId="0">
      <pane ySplit="2" topLeftCell="A3" activePane="bottomLeft" state="frozen"/>
      <selection pane="bottomLeft" activeCell="B11" sqref="B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4" t="s">
        <v>75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30"/>
      <c r="E3" s="31"/>
      <c r="F3" s="32"/>
      <c r="G3" s="24">
        <f t="shared" ref="G3:G23" si="0">MAX(0,IF(E3="",0,E3)-IF(F3="",0,F3))</f>
        <v>0</v>
      </c>
    </row>
    <row r="4" spans="1:7" ht="16.05" customHeight="1" x14ac:dyDescent="0.3">
      <c r="A4" s="33" t="s">
        <v>10</v>
      </c>
      <c r="B4" s="34" t="s">
        <v>416</v>
      </c>
      <c r="C4" s="29" t="s">
        <v>16</v>
      </c>
      <c r="D4" s="30"/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417</v>
      </c>
      <c r="C5" s="29"/>
      <c r="D5" s="69" t="s">
        <v>16</v>
      </c>
      <c r="E5" s="31"/>
      <c r="F5" s="32"/>
      <c r="G5" s="24">
        <f t="shared" si="0"/>
        <v>0</v>
      </c>
    </row>
    <row r="6" spans="1:7" ht="16.05" customHeight="1" x14ac:dyDescent="0.3">
      <c r="A6" s="33" t="s">
        <v>14</v>
      </c>
      <c r="B6" s="34" t="s">
        <v>418</v>
      </c>
      <c r="C6" s="29" t="s">
        <v>16</v>
      </c>
      <c r="D6" s="30"/>
      <c r="E6" s="31"/>
      <c r="F6" s="32"/>
      <c r="G6" s="24">
        <f t="shared" si="0"/>
        <v>0</v>
      </c>
    </row>
    <row r="7" spans="1:7" ht="16.05" customHeight="1" x14ac:dyDescent="0.3">
      <c r="A7" s="27" t="s">
        <v>17</v>
      </c>
      <c r="B7" s="28" t="s">
        <v>419</v>
      </c>
      <c r="C7" s="29" t="s">
        <v>16</v>
      </c>
      <c r="D7" s="30"/>
      <c r="E7" s="31">
        <v>1</v>
      </c>
      <c r="F7" s="32"/>
      <c r="G7" s="24">
        <f t="shared" si="0"/>
        <v>1</v>
      </c>
    </row>
    <row r="8" spans="1:7" ht="16.05" customHeight="1" x14ac:dyDescent="0.3">
      <c r="A8" s="33" t="s">
        <v>19</v>
      </c>
      <c r="B8" s="34" t="s">
        <v>420</v>
      </c>
      <c r="C8" s="29"/>
      <c r="D8" s="69" t="s">
        <v>16</v>
      </c>
      <c r="E8" s="31"/>
      <c r="F8" s="32"/>
      <c r="G8" s="24">
        <f t="shared" si="0"/>
        <v>0</v>
      </c>
    </row>
    <row r="9" spans="1:7" ht="16.05" customHeight="1" x14ac:dyDescent="0.3">
      <c r="A9" s="27" t="s">
        <v>21</v>
      </c>
      <c r="B9" s="28" t="s">
        <v>421</v>
      </c>
      <c r="C9" s="29" t="s">
        <v>16</v>
      </c>
      <c r="D9" s="30"/>
      <c r="E9" s="31"/>
      <c r="F9" s="32"/>
      <c r="G9" s="24">
        <f t="shared" si="0"/>
        <v>0</v>
      </c>
    </row>
    <row r="10" spans="1:7" ht="16.05" customHeight="1" x14ac:dyDescent="0.3">
      <c r="A10" s="33" t="s">
        <v>23</v>
      </c>
      <c r="B10" s="34" t="s">
        <v>422</v>
      </c>
      <c r="C10" s="29"/>
      <c r="D10" s="69" t="s">
        <v>16</v>
      </c>
      <c r="E10" s="31"/>
      <c r="F10" s="32"/>
      <c r="G10" s="24">
        <f t="shared" si="0"/>
        <v>0</v>
      </c>
    </row>
    <row r="11" spans="1:7" ht="16.05" customHeight="1" x14ac:dyDescent="0.3">
      <c r="A11" s="27" t="s">
        <v>25</v>
      </c>
      <c r="B11" s="28" t="s">
        <v>423</v>
      </c>
      <c r="C11" s="29" t="s">
        <v>16</v>
      </c>
      <c r="D11" s="30"/>
      <c r="E11" s="31"/>
      <c r="F11" s="32"/>
      <c r="G11" s="24">
        <f t="shared" si="0"/>
        <v>0</v>
      </c>
    </row>
    <row r="12" spans="1:7" ht="16.05" customHeight="1" x14ac:dyDescent="0.3">
      <c r="A12" s="33" t="s">
        <v>27</v>
      </c>
      <c r="B12" s="34" t="s">
        <v>424</v>
      </c>
      <c r="C12" s="29" t="s">
        <v>16</v>
      </c>
      <c r="D12" s="30"/>
      <c r="E12" s="31"/>
      <c r="F12" s="32"/>
      <c r="G12" s="24">
        <f t="shared" si="0"/>
        <v>0</v>
      </c>
    </row>
    <row r="13" spans="1:7" ht="16.05" customHeight="1" x14ac:dyDescent="0.3">
      <c r="A13" s="27" t="s">
        <v>29</v>
      </c>
      <c r="B13" s="28" t="s">
        <v>425</v>
      </c>
      <c r="C13" s="29" t="s">
        <v>16</v>
      </c>
      <c r="D13" s="30"/>
      <c r="E13" s="31"/>
      <c r="F13" s="32"/>
      <c r="G13" s="24">
        <f t="shared" si="0"/>
        <v>0</v>
      </c>
    </row>
    <row r="14" spans="1:7" ht="16.05" customHeight="1" x14ac:dyDescent="0.3">
      <c r="A14" s="33" t="s">
        <v>31</v>
      </c>
      <c r="B14" s="34" t="s">
        <v>426</v>
      </c>
      <c r="C14" s="29"/>
      <c r="D14" s="69" t="s">
        <v>16</v>
      </c>
      <c r="E14" s="31"/>
      <c r="F14" s="32"/>
      <c r="G14" s="24">
        <f t="shared" si="0"/>
        <v>0</v>
      </c>
    </row>
    <row r="15" spans="1:7" ht="16.05" customHeight="1" x14ac:dyDescent="0.3">
      <c r="A15" s="27" t="s">
        <v>249</v>
      </c>
      <c r="B15" s="28" t="s">
        <v>427</v>
      </c>
      <c r="C15" s="29" t="s">
        <v>16</v>
      </c>
      <c r="D15" s="30"/>
      <c r="E15" s="31"/>
      <c r="F15" s="32"/>
      <c r="G15" s="24">
        <f t="shared" si="0"/>
        <v>0</v>
      </c>
    </row>
    <row r="16" spans="1:7" ht="16.05" customHeight="1" x14ac:dyDescent="0.3">
      <c r="A16" s="35" t="s">
        <v>251</v>
      </c>
      <c r="B16" s="36"/>
      <c r="C16" s="37"/>
      <c r="D16" s="38"/>
      <c r="E16" s="39"/>
      <c r="F16" s="40"/>
      <c r="G16" s="41">
        <f t="shared" si="0"/>
        <v>0</v>
      </c>
    </row>
    <row r="17" spans="1:7" ht="16.05" customHeight="1" x14ac:dyDescent="0.3">
      <c r="A17" s="27" t="s">
        <v>35</v>
      </c>
      <c r="B17" s="28" t="s">
        <v>428</v>
      </c>
      <c r="C17" s="29" t="s">
        <v>16</v>
      </c>
      <c r="D17" s="30"/>
      <c r="E17" s="31"/>
      <c r="F17" s="32"/>
      <c r="G17" s="24">
        <f t="shared" si="0"/>
        <v>0</v>
      </c>
    </row>
    <row r="18" spans="1:7" ht="16.05" customHeight="1" x14ac:dyDescent="0.3">
      <c r="A18" s="33" t="s">
        <v>37</v>
      </c>
      <c r="B18" s="34" t="s">
        <v>429</v>
      </c>
      <c r="C18" s="29" t="s">
        <v>16</v>
      </c>
      <c r="D18" s="30"/>
      <c r="E18" s="31"/>
      <c r="F18" s="32"/>
      <c r="G18" s="24">
        <f t="shared" si="0"/>
        <v>0</v>
      </c>
    </row>
    <row r="19" spans="1:7" ht="16.05" customHeight="1" x14ac:dyDescent="0.3">
      <c r="A19" s="27" t="s">
        <v>39</v>
      </c>
      <c r="B19" s="28" t="s">
        <v>430</v>
      </c>
      <c r="C19" s="29" t="s">
        <v>16</v>
      </c>
      <c r="D19" s="30"/>
      <c r="E19" s="31"/>
      <c r="F19" s="32"/>
      <c r="G19" s="24">
        <f t="shared" si="0"/>
        <v>0</v>
      </c>
    </row>
    <row r="20" spans="1:7" ht="16.05" customHeight="1" x14ac:dyDescent="0.3">
      <c r="A20" s="33" t="s">
        <v>41</v>
      </c>
      <c r="B20" s="34" t="s">
        <v>431</v>
      </c>
      <c r="C20" s="29"/>
      <c r="D20" s="69" t="s">
        <v>16</v>
      </c>
      <c r="E20" s="31"/>
      <c r="F20" s="32"/>
      <c r="G20" s="24">
        <f t="shared" si="0"/>
        <v>0</v>
      </c>
    </row>
    <row r="21" spans="1:7" ht="16.05" customHeight="1" x14ac:dyDescent="0.3">
      <c r="A21" s="27" t="s">
        <v>43</v>
      </c>
      <c r="B21" s="28" t="s">
        <v>432</v>
      </c>
      <c r="C21" s="29" t="s">
        <v>16</v>
      </c>
      <c r="D21" s="30"/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433</v>
      </c>
      <c r="C22" s="29" t="s">
        <v>16</v>
      </c>
      <c r="D22" s="30"/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434</v>
      </c>
      <c r="C23" s="29"/>
      <c r="D23" s="69" t="s">
        <v>16</v>
      </c>
      <c r="E23" s="31"/>
      <c r="F23" s="32"/>
      <c r="G2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3"/>
  <sheetViews>
    <sheetView workbookViewId="0">
      <pane ySplit="2" topLeftCell="A3" activePane="bottomLeft" state="frozen"/>
      <selection pane="bottomLeft" activeCell="D18" sqref="D1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0" t="s">
        <v>76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7" t="s">
        <v>8</v>
      </c>
      <c r="B3" s="28" t="s">
        <v>86</v>
      </c>
      <c r="C3" s="29" t="s">
        <v>16</v>
      </c>
      <c r="D3" s="70"/>
      <c r="E3" s="31">
        <v>1</v>
      </c>
      <c r="F3" s="32"/>
      <c r="G3" s="24">
        <f t="shared" ref="G3:G23" si="0">MAX(0,IF(E3="",0,E3)-IF(F3="",0,F3))</f>
        <v>1</v>
      </c>
    </row>
    <row r="4" spans="1:7" ht="16.05" customHeight="1" x14ac:dyDescent="0.3">
      <c r="A4" s="33" t="s">
        <v>10</v>
      </c>
      <c r="B4" s="34" t="s">
        <v>435</v>
      </c>
      <c r="C4" s="29"/>
      <c r="D4" s="70" t="s">
        <v>16</v>
      </c>
      <c r="E4" s="31"/>
      <c r="F4" s="32"/>
      <c r="G4" s="24">
        <f t="shared" si="0"/>
        <v>0</v>
      </c>
    </row>
    <row r="5" spans="1:7" ht="16.05" customHeight="1" x14ac:dyDescent="0.3">
      <c r="A5" s="27" t="s">
        <v>12</v>
      </c>
      <c r="B5" s="28" t="s">
        <v>436</v>
      </c>
      <c r="C5" s="29" t="s">
        <v>16</v>
      </c>
      <c r="D5" s="70"/>
      <c r="E5" s="31"/>
      <c r="F5" s="32"/>
      <c r="G5" s="24">
        <f t="shared" si="0"/>
        <v>0</v>
      </c>
    </row>
    <row r="6" spans="1:7" ht="16.05" customHeight="1" x14ac:dyDescent="0.3">
      <c r="A6" s="35" t="s">
        <v>14</v>
      </c>
      <c r="B6" s="36"/>
      <c r="C6" s="37"/>
      <c r="D6" s="68" t="s">
        <v>16</v>
      </c>
      <c r="E6" s="39"/>
      <c r="F6" s="40"/>
      <c r="G6" s="41">
        <f t="shared" si="0"/>
        <v>0</v>
      </c>
    </row>
    <row r="7" spans="1:7" ht="16.05" customHeight="1" x14ac:dyDescent="0.3">
      <c r="A7" s="27" t="s">
        <v>17</v>
      </c>
      <c r="B7" s="28" t="s">
        <v>437</v>
      </c>
      <c r="C7" s="29" t="s">
        <v>16</v>
      </c>
      <c r="D7" s="70"/>
      <c r="E7" s="31"/>
      <c r="F7" s="32"/>
      <c r="G7" s="24">
        <f t="shared" si="0"/>
        <v>0</v>
      </c>
    </row>
    <row r="8" spans="1:7" ht="16.05" customHeight="1" x14ac:dyDescent="0.3">
      <c r="A8" s="33" t="s">
        <v>19</v>
      </c>
      <c r="B8" s="34" t="s">
        <v>438</v>
      </c>
      <c r="C8" s="29"/>
      <c r="D8" s="70"/>
      <c r="E8" s="31">
        <v>1</v>
      </c>
      <c r="F8" s="32"/>
      <c r="G8" s="24">
        <f t="shared" si="0"/>
        <v>1</v>
      </c>
    </row>
    <row r="9" spans="1:7" ht="16.05" customHeight="1" x14ac:dyDescent="0.3">
      <c r="A9" s="27" t="s">
        <v>21</v>
      </c>
      <c r="B9" s="28" t="s">
        <v>439</v>
      </c>
      <c r="C9" s="29" t="s">
        <v>16</v>
      </c>
      <c r="D9" s="70"/>
      <c r="E9" s="31">
        <v>1</v>
      </c>
      <c r="F9" s="32"/>
      <c r="G9" s="24">
        <f t="shared" si="0"/>
        <v>1</v>
      </c>
    </row>
    <row r="10" spans="1:7" ht="16.05" customHeight="1" x14ac:dyDescent="0.3">
      <c r="A10" s="33" t="s">
        <v>23</v>
      </c>
      <c r="B10" s="34" t="s">
        <v>440</v>
      </c>
      <c r="C10" s="29"/>
      <c r="D10" s="70"/>
      <c r="E10" s="31"/>
      <c r="F10" s="32"/>
      <c r="G10" s="24">
        <f t="shared" si="0"/>
        <v>0</v>
      </c>
    </row>
    <row r="11" spans="1:7" ht="16.05" customHeight="1" x14ac:dyDescent="0.3">
      <c r="A11" s="27" t="s">
        <v>117</v>
      </c>
      <c r="B11" s="28" t="s">
        <v>441</v>
      </c>
      <c r="C11" s="29"/>
      <c r="D11" s="70"/>
      <c r="E11" s="31"/>
      <c r="F11" s="32"/>
      <c r="G11" s="24">
        <f t="shared" si="0"/>
        <v>0</v>
      </c>
    </row>
    <row r="12" spans="1:7" ht="16.05" customHeight="1" x14ac:dyDescent="0.3">
      <c r="A12" s="33" t="s">
        <v>119</v>
      </c>
      <c r="B12" s="34" t="s">
        <v>442</v>
      </c>
      <c r="C12" s="71" t="s">
        <v>16</v>
      </c>
      <c r="D12" s="70"/>
      <c r="E12" s="31">
        <v>1</v>
      </c>
      <c r="F12" s="32"/>
      <c r="G12" s="24">
        <f t="shared" si="0"/>
        <v>1</v>
      </c>
    </row>
    <row r="13" spans="1:7" ht="16.05" customHeight="1" x14ac:dyDescent="0.3">
      <c r="A13" s="27" t="s">
        <v>27</v>
      </c>
      <c r="B13" s="28" t="s">
        <v>443</v>
      </c>
      <c r="C13" s="29" t="s">
        <v>16</v>
      </c>
      <c r="D13" s="70"/>
      <c r="E13" s="31"/>
      <c r="F13" s="32"/>
      <c r="G13" s="24">
        <f t="shared" si="0"/>
        <v>0</v>
      </c>
    </row>
    <row r="14" spans="1:7" ht="16.05" customHeight="1" x14ac:dyDescent="0.3">
      <c r="A14" s="33" t="s">
        <v>29</v>
      </c>
      <c r="B14" s="34" t="s">
        <v>444</v>
      </c>
      <c r="C14" s="29"/>
      <c r="D14" s="70"/>
      <c r="E14" s="31"/>
      <c r="F14" s="32"/>
      <c r="G14" s="24">
        <f t="shared" si="0"/>
        <v>0</v>
      </c>
    </row>
    <row r="15" spans="1:7" ht="16.05" customHeight="1" x14ac:dyDescent="0.3">
      <c r="A15" s="27" t="s">
        <v>31</v>
      </c>
      <c r="B15" s="28" t="s">
        <v>445</v>
      </c>
      <c r="C15" s="29" t="s">
        <v>16</v>
      </c>
      <c r="D15" s="70"/>
      <c r="E15" s="31"/>
      <c r="F15" s="32"/>
      <c r="G15" s="24">
        <f t="shared" si="0"/>
        <v>0</v>
      </c>
    </row>
    <row r="16" spans="1:7" ht="16.05" customHeight="1" x14ac:dyDescent="0.3">
      <c r="A16" s="35" t="s">
        <v>33</v>
      </c>
      <c r="B16" s="36" t="s">
        <v>748</v>
      </c>
      <c r="C16" s="37"/>
      <c r="D16" s="68" t="s">
        <v>16</v>
      </c>
      <c r="E16" s="39"/>
      <c r="F16" s="40"/>
      <c r="G16" s="41">
        <f t="shared" si="0"/>
        <v>0</v>
      </c>
    </row>
    <row r="17" spans="1:7" ht="16.05" customHeight="1" x14ac:dyDescent="0.3">
      <c r="A17" s="27" t="s">
        <v>35</v>
      </c>
      <c r="B17" s="28" t="s">
        <v>446</v>
      </c>
      <c r="C17" s="29"/>
      <c r="D17" s="70"/>
      <c r="E17" s="31">
        <v>1</v>
      </c>
      <c r="F17" s="32"/>
      <c r="G17" s="24">
        <f t="shared" si="0"/>
        <v>1</v>
      </c>
    </row>
    <row r="18" spans="1:7" ht="16.05" customHeight="1" x14ac:dyDescent="0.3">
      <c r="A18" s="33" t="s">
        <v>37</v>
      </c>
      <c r="B18" s="34" t="s">
        <v>447</v>
      </c>
      <c r="C18" s="29"/>
      <c r="D18" s="70" t="s">
        <v>16</v>
      </c>
      <c r="E18" s="44"/>
      <c r="F18" s="32"/>
      <c r="G18" s="24">
        <f t="shared" si="0"/>
        <v>0</v>
      </c>
    </row>
    <row r="19" spans="1:7" ht="16.05" customHeight="1" x14ac:dyDescent="0.3">
      <c r="A19" s="27" t="s">
        <v>39</v>
      </c>
      <c r="B19" s="28" t="s">
        <v>448</v>
      </c>
      <c r="C19" s="29"/>
      <c r="D19" s="70" t="s">
        <v>16</v>
      </c>
      <c r="E19" s="31"/>
      <c r="F19" s="32"/>
      <c r="G19" s="24">
        <f t="shared" si="0"/>
        <v>0</v>
      </c>
    </row>
    <row r="20" spans="1:7" ht="16.05" customHeight="1" x14ac:dyDescent="0.3">
      <c r="A20" s="33" t="s">
        <v>41</v>
      </c>
      <c r="B20" s="34" t="s">
        <v>449</v>
      </c>
      <c r="C20" s="29" t="s">
        <v>16</v>
      </c>
      <c r="D20" s="70"/>
      <c r="E20" s="31"/>
      <c r="F20" s="32"/>
      <c r="G20" s="24">
        <f t="shared" si="0"/>
        <v>0</v>
      </c>
    </row>
    <row r="21" spans="1:7" ht="16.05" customHeight="1" x14ac:dyDescent="0.3">
      <c r="A21" s="27" t="s">
        <v>43</v>
      </c>
      <c r="B21" s="28" t="s">
        <v>450</v>
      </c>
      <c r="C21" s="29"/>
      <c r="D21" s="70" t="s">
        <v>16</v>
      </c>
      <c r="E21" s="31"/>
      <c r="F21" s="32"/>
      <c r="G21" s="24">
        <f t="shared" si="0"/>
        <v>0</v>
      </c>
    </row>
    <row r="22" spans="1:7" ht="16.05" customHeight="1" x14ac:dyDescent="0.3">
      <c r="A22" s="33" t="s">
        <v>45</v>
      </c>
      <c r="B22" s="34" t="s">
        <v>451</v>
      </c>
      <c r="C22" s="29"/>
      <c r="D22" s="70"/>
      <c r="E22" s="31"/>
      <c r="F22" s="32"/>
      <c r="G22" s="24">
        <f t="shared" si="0"/>
        <v>0</v>
      </c>
    </row>
    <row r="23" spans="1:7" ht="16.05" customHeight="1" x14ac:dyDescent="0.3">
      <c r="A23" s="27" t="s">
        <v>47</v>
      </c>
      <c r="B23" s="28" t="s">
        <v>452</v>
      </c>
      <c r="C23" s="29" t="s">
        <v>16</v>
      </c>
      <c r="D23" s="70"/>
      <c r="E23" s="31">
        <v>2</v>
      </c>
      <c r="F23" s="32"/>
      <c r="G23" s="24">
        <f t="shared" si="0"/>
        <v>2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4"/>
  <sheetViews>
    <sheetView workbookViewId="0">
      <pane ySplit="2" topLeftCell="A3" activePane="bottomLeft" state="frozen"/>
      <selection pane="bottomLeft" activeCell="D21" sqref="D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77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/>
      <c r="F3" s="23"/>
      <c r="G3" s="24">
        <f t="shared" ref="G3:G24" si="0">MAX(0,IF(E3="",0,E3)-IF(F3="",0,F3))</f>
        <v>0</v>
      </c>
    </row>
    <row r="4" spans="1:7" ht="16.05" customHeight="1" x14ac:dyDescent="0.3">
      <c r="A4" s="25" t="s">
        <v>10</v>
      </c>
      <c r="B4" s="26" t="s">
        <v>453</v>
      </c>
      <c r="C4" s="20" t="s">
        <v>16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454</v>
      </c>
      <c r="C5" s="20" t="s">
        <v>16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455</v>
      </c>
      <c r="C6" s="20" t="s">
        <v>16</v>
      </c>
      <c r="D6" s="21"/>
      <c r="E6" s="22">
        <v>1</v>
      </c>
      <c r="F6" s="23"/>
      <c r="G6" s="24">
        <f t="shared" si="0"/>
        <v>1</v>
      </c>
    </row>
    <row r="7" spans="1:7" ht="16.05" customHeight="1" x14ac:dyDescent="0.3">
      <c r="A7" s="18" t="s">
        <v>17</v>
      </c>
      <c r="B7" s="19" t="s">
        <v>456</v>
      </c>
      <c r="C7" s="20" t="s">
        <v>16</v>
      </c>
      <c r="D7" s="21"/>
      <c r="E7" s="22">
        <v>1</v>
      </c>
      <c r="F7" s="23"/>
      <c r="G7" s="24">
        <f t="shared" si="0"/>
        <v>1</v>
      </c>
    </row>
    <row r="8" spans="1:7" ht="16.05" customHeight="1" x14ac:dyDescent="0.3">
      <c r="A8" s="25" t="s">
        <v>19</v>
      </c>
      <c r="B8" s="26" t="s">
        <v>457</v>
      </c>
      <c r="C8" s="20" t="s">
        <v>16</v>
      </c>
      <c r="D8" s="21"/>
      <c r="E8" s="22">
        <v>1</v>
      </c>
      <c r="F8" s="23"/>
      <c r="G8" s="24">
        <f t="shared" si="0"/>
        <v>1</v>
      </c>
    </row>
    <row r="9" spans="1:7" ht="16.05" customHeight="1" x14ac:dyDescent="0.3">
      <c r="A9" s="18" t="s">
        <v>21</v>
      </c>
      <c r="B9" s="19" t="s">
        <v>458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141</v>
      </c>
      <c r="B10" s="26" t="s">
        <v>459</v>
      </c>
      <c r="C10" s="20"/>
      <c r="D10" s="21"/>
      <c r="E10" s="22">
        <v>1</v>
      </c>
      <c r="F10" s="23"/>
      <c r="G10" s="24">
        <f t="shared" si="0"/>
        <v>1</v>
      </c>
    </row>
    <row r="11" spans="1:7" ht="16.05" customHeight="1" x14ac:dyDescent="0.3">
      <c r="A11" s="18" t="s">
        <v>143</v>
      </c>
      <c r="B11" s="19" t="s">
        <v>460</v>
      </c>
      <c r="C11" s="20" t="s">
        <v>16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25</v>
      </c>
      <c r="B12" s="26" t="s">
        <v>461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27</v>
      </c>
      <c r="B13" s="19" t="s">
        <v>462</v>
      </c>
      <c r="C13" s="20"/>
      <c r="D13" s="21" t="s">
        <v>16</v>
      </c>
      <c r="E13" s="22"/>
      <c r="F13" s="23"/>
      <c r="G13" s="24">
        <f t="shared" si="0"/>
        <v>0</v>
      </c>
    </row>
    <row r="14" spans="1:7" ht="16.05" customHeight="1" x14ac:dyDescent="0.3">
      <c r="A14" s="25" t="s">
        <v>29</v>
      </c>
      <c r="B14" s="26" t="s">
        <v>463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31</v>
      </c>
      <c r="B15" s="19" t="s">
        <v>464</v>
      </c>
      <c r="C15" s="20"/>
      <c r="D15" s="21" t="s">
        <v>16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33</v>
      </c>
      <c r="B16" s="26" t="s">
        <v>465</v>
      </c>
      <c r="C16" s="20"/>
      <c r="D16" s="21" t="s">
        <v>16</v>
      </c>
      <c r="E16" s="22"/>
      <c r="F16" s="23"/>
      <c r="G16" s="24">
        <f t="shared" si="0"/>
        <v>0</v>
      </c>
    </row>
    <row r="17" spans="1:7" ht="16.05" customHeight="1" x14ac:dyDescent="0.3">
      <c r="A17" s="18" t="s">
        <v>35</v>
      </c>
      <c r="B17" s="19" t="s">
        <v>466</v>
      </c>
      <c r="C17" s="20" t="s">
        <v>16</v>
      </c>
      <c r="D17" s="21"/>
      <c r="E17" s="22">
        <v>1</v>
      </c>
      <c r="F17" s="23"/>
      <c r="G17" s="24">
        <f t="shared" si="0"/>
        <v>1</v>
      </c>
    </row>
    <row r="18" spans="1:7" ht="16.05" customHeight="1" x14ac:dyDescent="0.3">
      <c r="A18" s="25" t="s">
        <v>37</v>
      </c>
      <c r="B18" s="26" t="s">
        <v>467</v>
      </c>
      <c r="C18" s="20"/>
      <c r="D18" s="21" t="s">
        <v>16</v>
      </c>
      <c r="E18" s="22"/>
      <c r="F18" s="23"/>
      <c r="G18" s="24">
        <f t="shared" si="0"/>
        <v>0</v>
      </c>
    </row>
    <row r="19" spans="1:7" ht="16.05" customHeight="1" x14ac:dyDescent="0.3">
      <c r="A19" s="18" t="s">
        <v>39</v>
      </c>
      <c r="B19" s="19" t="s">
        <v>468</v>
      </c>
      <c r="C19" s="20" t="s">
        <v>16</v>
      </c>
      <c r="D19" s="21"/>
      <c r="E19" s="22">
        <v>1</v>
      </c>
      <c r="F19" s="23"/>
      <c r="G19" s="24">
        <f t="shared" si="0"/>
        <v>1</v>
      </c>
    </row>
    <row r="20" spans="1:7" ht="16.05" customHeight="1" x14ac:dyDescent="0.3">
      <c r="A20" s="25" t="s">
        <v>41</v>
      </c>
      <c r="B20" s="26" t="s">
        <v>469</v>
      </c>
      <c r="C20" s="20" t="s">
        <v>16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43</v>
      </c>
      <c r="B21" s="19" t="s">
        <v>470</v>
      </c>
      <c r="C21" s="20"/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45</v>
      </c>
      <c r="B22" s="26" t="s">
        <v>471</v>
      </c>
      <c r="C22" s="20"/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472</v>
      </c>
      <c r="B23" s="19" t="s">
        <v>473</v>
      </c>
      <c r="C23" s="20" t="s">
        <v>16</v>
      </c>
      <c r="D23" s="21"/>
      <c r="E23" s="22"/>
      <c r="F23" s="23"/>
      <c r="G23" s="24">
        <f t="shared" si="0"/>
        <v>0</v>
      </c>
    </row>
    <row r="24" spans="1:7" ht="16.05" customHeight="1" x14ac:dyDescent="0.3">
      <c r="A24" s="25" t="s">
        <v>474</v>
      </c>
      <c r="B24" s="26" t="s">
        <v>475</v>
      </c>
      <c r="C24" s="20"/>
      <c r="D24" s="21"/>
      <c r="E24" s="22">
        <v>1</v>
      </c>
      <c r="F24" s="23"/>
      <c r="G24" s="2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"/>
  <sheetViews>
    <sheetView workbookViewId="0">
      <pane ySplit="2" topLeftCell="A3" activePane="bottomLeft" state="frozen"/>
      <selection pane="bottomLeft" activeCell="B7" sqref="B7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78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86</v>
      </c>
      <c r="C3" s="20" t="s">
        <v>16</v>
      </c>
      <c r="D3" s="21"/>
      <c r="E3" s="22">
        <v>1</v>
      </c>
      <c r="F3" s="23"/>
      <c r="G3" s="24">
        <f t="shared" ref="G3:G25" si="0">MAX(0,IF(E3="",0,E3)-IF(F3="",0,F3))</f>
        <v>1</v>
      </c>
    </row>
    <row r="4" spans="1:7" ht="16.05" customHeight="1" x14ac:dyDescent="0.3">
      <c r="A4" s="25" t="s">
        <v>10</v>
      </c>
      <c r="B4" s="26" t="s">
        <v>476</v>
      </c>
      <c r="C4" s="20"/>
      <c r="D4" s="21" t="s">
        <v>16</v>
      </c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477</v>
      </c>
      <c r="C5" s="20" t="s">
        <v>16</v>
      </c>
      <c r="D5" s="21"/>
      <c r="E5" s="22">
        <v>1</v>
      </c>
      <c r="F5" s="23"/>
      <c r="G5" s="24">
        <f t="shared" si="0"/>
        <v>1</v>
      </c>
    </row>
    <row r="6" spans="1:7" ht="16.05" customHeight="1" x14ac:dyDescent="0.3">
      <c r="A6" s="25" t="s">
        <v>14</v>
      </c>
      <c r="B6" s="26" t="s">
        <v>478</v>
      </c>
      <c r="C6" s="20"/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479</v>
      </c>
      <c r="C7" s="20" t="s">
        <v>16</v>
      </c>
      <c r="D7" s="21"/>
      <c r="E7" s="22">
        <v>2</v>
      </c>
      <c r="F7" s="23"/>
      <c r="G7" s="24">
        <f t="shared" si="0"/>
        <v>2</v>
      </c>
    </row>
    <row r="8" spans="1:7" ht="16.05" customHeight="1" x14ac:dyDescent="0.3">
      <c r="A8" s="25" t="s">
        <v>111</v>
      </c>
      <c r="B8" s="26" t="s">
        <v>480</v>
      </c>
      <c r="C8" s="20"/>
      <c r="D8" s="21"/>
      <c r="E8" s="22">
        <v>1</v>
      </c>
      <c r="F8" s="23"/>
      <c r="G8" s="24">
        <f t="shared" si="0"/>
        <v>1</v>
      </c>
    </row>
    <row r="9" spans="1:7" ht="16.05" customHeight="1" x14ac:dyDescent="0.3">
      <c r="A9" s="18" t="s">
        <v>113</v>
      </c>
      <c r="B9" s="19" t="s">
        <v>481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482</v>
      </c>
      <c r="B10" s="26" t="s">
        <v>483</v>
      </c>
      <c r="C10" s="20" t="s">
        <v>16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484</v>
      </c>
      <c r="B11" s="19" t="s">
        <v>485</v>
      </c>
      <c r="C11" s="20"/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141</v>
      </c>
      <c r="B12" s="26" t="s">
        <v>486</v>
      </c>
      <c r="C12" s="20"/>
      <c r="D12" s="21"/>
      <c r="E12" s="22">
        <v>1</v>
      </c>
      <c r="F12" s="23"/>
      <c r="G12" s="24">
        <f t="shared" si="0"/>
        <v>1</v>
      </c>
    </row>
    <row r="13" spans="1:7" ht="16.05" customHeight="1" x14ac:dyDescent="0.3">
      <c r="A13" s="18" t="s">
        <v>143</v>
      </c>
      <c r="B13" s="19" t="s">
        <v>487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25</v>
      </c>
      <c r="B14" s="26" t="s">
        <v>488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27</v>
      </c>
      <c r="B15" s="19" t="s">
        <v>489</v>
      </c>
      <c r="C15" s="20"/>
      <c r="D15" s="21" t="s">
        <v>16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29</v>
      </c>
      <c r="B16" s="26" t="s">
        <v>490</v>
      </c>
      <c r="C16" s="20"/>
      <c r="D16" s="21" t="s">
        <v>16</v>
      </c>
      <c r="E16" s="22"/>
      <c r="F16" s="23"/>
      <c r="G16" s="24">
        <f t="shared" si="0"/>
        <v>0</v>
      </c>
    </row>
    <row r="17" spans="1:7" ht="16.05" customHeight="1" x14ac:dyDescent="0.3">
      <c r="A17" s="18" t="s">
        <v>31</v>
      </c>
      <c r="B17" s="19" t="s">
        <v>491</v>
      </c>
      <c r="C17" s="20"/>
      <c r="D17" s="21" t="s">
        <v>16</v>
      </c>
      <c r="E17" s="22"/>
      <c r="F17" s="23"/>
      <c r="G17" s="24">
        <f t="shared" si="0"/>
        <v>0</v>
      </c>
    </row>
    <row r="18" spans="1:7" ht="16.05" customHeight="1" x14ac:dyDescent="0.3">
      <c r="A18" s="25" t="s">
        <v>33</v>
      </c>
      <c r="B18" s="26" t="s">
        <v>492</v>
      </c>
      <c r="C18" s="20" t="s">
        <v>16</v>
      </c>
      <c r="D18" s="21"/>
      <c r="E18" s="22">
        <v>1</v>
      </c>
      <c r="F18" s="23"/>
      <c r="G18" s="24">
        <f t="shared" si="0"/>
        <v>1</v>
      </c>
    </row>
    <row r="19" spans="1:7" ht="16.05" customHeight="1" x14ac:dyDescent="0.3">
      <c r="A19" s="18" t="s">
        <v>35</v>
      </c>
      <c r="B19" s="19" t="s">
        <v>493</v>
      </c>
      <c r="C19" s="20" t="s">
        <v>16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37</v>
      </c>
      <c r="B20" s="26" t="s">
        <v>494</v>
      </c>
      <c r="C20" s="20" t="s">
        <v>16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39</v>
      </c>
      <c r="B21" s="19" t="s">
        <v>495</v>
      </c>
      <c r="C21" s="20"/>
      <c r="D21" s="21" t="s">
        <v>16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41</v>
      </c>
      <c r="B22" s="26" t="s">
        <v>496</v>
      </c>
      <c r="C22" s="20"/>
      <c r="D22" s="21" t="s">
        <v>16</v>
      </c>
      <c r="E22" s="22"/>
      <c r="F22" s="23"/>
      <c r="G22" s="24">
        <f t="shared" si="0"/>
        <v>0</v>
      </c>
    </row>
    <row r="23" spans="1:7" ht="16.05" customHeight="1" x14ac:dyDescent="0.3">
      <c r="A23" s="18" t="s">
        <v>43</v>
      </c>
      <c r="B23" s="19" t="s">
        <v>497</v>
      </c>
      <c r="C23" s="20"/>
      <c r="D23" s="21" t="s">
        <v>16</v>
      </c>
      <c r="E23" s="22"/>
      <c r="F23" s="23"/>
      <c r="G23" s="24">
        <f t="shared" si="0"/>
        <v>0</v>
      </c>
    </row>
    <row r="24" spans="1:7" ht="16.05" customHeight="1" x14ac:dyDescent="0.3">
      <c r="A24" s="25" t="s">
        <v>45</v>
      </c>
      <c r="B24" s="26" t="s">
        <v>498</v>
      </c>
      <c r="C24" s="20" t="s">
        <v>16</v>
      </c>
      <c r="D24" s="21"/>
      <c r="E24" s="22"/>
      <c r="F24" s="23"/>
      <c r="G24" s="24">
        <f t="shared" si="0"/>
        <v>0</v>
      </c>
    </row>
    <row r="25" spans="1:7" ht="16.05" customHeight="1" x14ac:dyDescent="0.3">
      <c r="A25" s="18" t="s">
        <v>47</v>
      </c>
      <c r="B25" s="19" t="s">
        <v>499</v>
      </c>
      <c r="C25" s="20" t="s">
        <v>16</v>
      </c>
      <c r="D25" s="21"/>
      <c r="E25" s="22">
        <v>1</v>
      </c>
      <c r="F25" s="23"/>
      <c r="G25" s="2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pane ySplit="2" topLeftCell="A3" activePane="bottomLeft" state="frozen"/>
      <selection pane="bottomLeft" activeCell="D3" sqref="D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3" t="s">
        <v>79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500</v>
      </c>
      <c r="C3" s="20"/>
      <c r="D3" s="21" t="s">
        <v>16</v>
      </c>
      <c r="E3" s="22"/>
      <c r="F3" s="23"/>
      <c r="G3" s="24">
        <f t="shared" ref="G3:G17" si="0">MAX(0,IF(E3="",0,E3)-IF(F3="",0,F3))</f>
        <v>0</v>
      </c>
    </row>
    <row r="4" spans="1:7" ht="16.05" customHeight="1" x14ac:dyDescent="0.3">
      <c r="A4" s="25" t="s">
        <v>10</v>
      </c>
      <c r="B4" s="26" t="s">
        <v>501</v>
      </c>
      <c r="C4" s="20" t="s">
        <v>16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502</v>
      </c>
      <c r="C5" s="20" t="s">
        <v>16</v>
      </c>
      <c r="D5" s="21"/>
      <c r="E5" s="22">
        <v>1</v>
      </c>
      <c r="F5" s="23"/>
      <c r="G5" s="24">
        <f t="shared" si="0"/>
        <v>1</v>
      </c>
    </row>
    <row r="6" spans="1:7" ht="16.05" customHeight="1" x14ac:dyDescent="0.3">
      <c r="A6" s="25" t="s">
        <v>14</v>
      </c>
      <c r="B6" s="26" t="s">
        <v>503</v>
      </c>
      <c r="C6" s="20" t="s">
        <v>16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504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505</v>
      </c>
      <c r="C8" s="20" t="s">
        <v>16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506</v>
      </c>
      <c r="C9" s="20" t="s">
        <v>16</v>
      </c>
      <c r="D9" s="21"/>
      <c r="E9" s="22">
        <v>1</v>
      </c>
      <c r="F9" s="23"/>
      <c r="G9" s="24">
        <f t="shared" si="0"/>
        <v>1</v>
      </c>
    </row>
    <row r="10" spans="1:7" ht="16.05" customHeight="1" x14ac:dyDescent="0.3">
      <c r="A10" s="25" t="s">
        <v>23</v>
      </c>
      <c r="B10" s="26" t="s">
        <v>507</v>
      </c>
      <c r="C10" s="20"/>
      <c r="D10" s="21" t="s">
        <v>16</v>
      </c>
      <c r="E10" s="22"/>
      <c r="F10" s="23"/>
      <c r="G10" s="24">
        <f t="shared" si="0"/>
        <v>0</v>
      </c>
    </row>
    <row r="11" spans="1:7" ht="16.05" customHeight="1" x14ac:dyDescent="0.3">
      <c r="A11" s="18" t="s">
        <v>25</v>
      </c>
      <c r="B11" s="19" t="s">
        <v>508</v>
      </c>
      <c r="C11" s="20"/>
      <c r="D11" s="21" t="s">
        <v>16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27</v>
      </c>
      <c r="B12" s="26" t="s">
        <v>509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29</v>
      </c>
      <c r="B13" s="19" t="s">
        <v>510</v>
      </c>
      <c r="C13" s="20"/>
      <c r="D13" s="21" t="s">
        <v>16</v>
      </c>
      <c r="E13" s="22"/>
      <c r="F13" s="23"/>
      <c r="G13" s="24">
        <f t="shared" si="0"/>
        <v>0</v>
      </c>
    </row>
    <row r="14" spans="1:7" ht="16.05" customHeight="1" x14ac:dyDescent="0.3">
      <c r="A14" s="25" t="s">
        <v>31</v>
      </c>
      <c r="B14" s="26" t="s">
        <v>511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33</v>
      </c>
      <c r="B15" s="19" t="s">
        <v>512</v>
      </c>
      <c r="C15" s="20"/>
      <c r="D15" s="21" t="s">
        <v>16</v>
      </c>
      <c r="E15" s="22"/>
      <c r="F15" s="23"/>
      <c r="G15" s="24">
        <f t="shared" si="0"/>
        <v>0</v>
      </c>
    </row>
    <row r="16" spans="1:7" ht="16.05" customHeight="1" x14ac:dyDescent="0.3">
      <c r="A16" s="25" t="s">
        <v>35</v>
      </c>
      <c r="B16" s="26" t="s">
        <v>513</v>
      </c>
      <c r="C16" s="20"/>
      <c r="D16" s="21" t="s">
        <v>16</v>
      </c>
      <c r="E16" s="22"/>
      <c r="F16" s="23"/>
      <c r="G16" s="24">
        <f t="shared" si="0"/>
        <v>0</v>
      </c>
    </row>
    <row r="17" spans="1:7" ht="16.05" customHeight="1" x14ac:dyDescent="0.3">
      <c r="A17" s="18" t="s">
        <v>37</v>
      </c>
      <c r="B17" s="19" t="s">
        <v>514</v>
      </c>
      <c r="C17" s="20"/>
      <c r="D17" s="21" t="s">
        <v>16</v>
      </c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1"/>
  <sheetViews>
    <sheetView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4" t="s">
        <v>80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515</v>
      </c>
      <c r="C3" s="20" t="s">
        <v>16</v>
      </c>
      <c r="D3" s="21"/>
      <c r="E3" s="22"/>
      <c r="F3" s="23"/>
      <c r="G3" s="24">
        <f t="shared" ref="G3:G11" si="0">MAX(0,IF(E3="",0,E3)-IF(F3="",0,F3))</f>
        <v>0</v>
      </c>
    </row>
    <row r="4" spans="1:7" ht="16.05" customHeight="1" x14ac:dyDescent="0.3">
      <c r="A4" s="25" t="s">
        <v>10</v>
      </c>
      <c r="B4" s="26" t="s">
        <v>516</v>
      </c>
      <c r="C4" s="20"/>
      <c r="D4" s="21" t="s">
        <v>16</v>
      </c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517</v>
      </c>
      <c r="C5" s="20" t="s">
        <v>16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518</v>
      </c>
      <c r="C6" s="20"/>
      <c r="D6" s="21" t="s">
        <v>16</v>
      </c>
      <c r="E6" s="22"/>
      <c r="F6" s="23"/>
      <c r="G6" s="24">
        <f t="shared" si="0"/>
        <v>0</v>
      </c>
    </row>
    <row r="7" spans="1:7" ht="16.05" customHeight="1" x14ac:dyDescent="0.3">
      <c r="A7" s="18" t="s">
        <v>17</v>
      </c>
      <c r="B7" s="19" t="s">
        <v>505</v>
      </c>
      <c r="C7" s="20"/>
      <c r="D7" s="21" t="s">
        <v>16</v>
      </c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519</v>
      </c>
      <c r="C8" s="20" t="s">
        <v>16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511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23</v>
      </c>
      <c r="B10" s="26" t="s">
        <v>519</v>
      </c>
      <c r="C10" s="20"/>
      <c r="D10" s="21" t="s">
        <v>16</v>
      </c>
      <c r="E10" s="22"/>
      <c r="F10" s="23"/>
      <c r="G10" s="24">
        <f t="shared" si="0"/>
        <v>0</v>
      </c>
    </row>
    <row r="11" spans="1:7" ht="16.05" customHeight="1" x14ac:dyDescent="0.3">
      <c r="A11" s="18" t="s">
        <v>25</v>
      </c>
      <c r="B11" s="19" t="s">
        <v>507</v>
      </c>
      <c r="C11" s="20" t="s">
        <v>16</v>
      </c>
      <c r="D11" s="21"/>
      <c r="E11" s="22"/>
      <c r="F11" s="23"/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5"/>
  <sheetViews>
    <sheetView workbookViewId="0">
      <pane ySplit="2" topLeftCell="A5" activePane="bottomLeft" state="frozen"/>
      <selection pane="bottomLeft" activeCell="G11" sqref="G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0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</v>
      </c>
      <c r="B3" s="19" t="s">
        <v>9</v>
      </c>
      <c r="C3" s="20" t="s">
        <v>16</v>
      </c>
      <c r="D3" s="21"/>
      <c r="E3" s="22">
        <v>1</v>
      </c>
      <c r="F3" s="23"/>
      <c r="G3" s="24">
        <f t="shared" ref="G3:G25" si="0">MAX(0,IF(E3="",0,E3)-IF(F3="",0,F3))</f>
        <v>1</v>
      </c>
    </row>
    <row r="4" spans="1:7" ht="16.05" customHeight="1" x14ac:dyDescent="0.3">
      <c r="A4" s="25" t="s">
        <v>10</v>
      </c>
      <c r="B4" s="26" t="s">
        <v>11</v>
      </c>
      <c r="C4" s="20"/>
      <c r="D4" s="21" t="s">
        <v>16</v>
      </c>
      <c r="E4" s="22"/>
      <c r="F4" s="23"/>
      <c r="G4" s="24">
        <f t="shared" si="0"/>
        <v>0</v>
      </c>
    </row>
    <row r="5" spans="1:7" ht="16.05" customHeight="1" x14ac:dyDescent="0.3">
      <c r="A5" s="18" t="s">
        <v>12</v>
      </c>
      <c r="B5" s="19" t="s">
        <v>13</v>
      </c>
      <c r="C5" s="20" t="s">
        <v>16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</v>
      </c>
      <c r="B6" s="26" t="s">
        <v>15</v>
      </c>
      <c r="C6" s="20" t="s">
        <v>16</v>
      </c>
      <c r="D6" s="21"/>
      <c r="E6" s="22">
        <v>2</v>
      </c>
      <c r="F6" s="23"/>
      <c r="G6" s="24">
        <f t="shared" si="0"/>
        <v>2</v>
      </c>
    </row>
    <row r="7" spans="1:7" ht="16.05" customHeight="1" x14ac:dyDescent="0.3">
      <c r="A7" s="18" t="s">
        <v>17</v>
      </c>
      <c r="B7" s="19" t="s">
        <v>18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</v>
      </c>
      <c r="B8" s="26" t="s">
        <v>20</v>
      </c>
      <c r="C8" s="20"/>
      <c r="D8" s="21" t="s">
        <v>16</v>
      </c>
      <c r="E8" s="22"/>
      <c r="F8" s="23"/>
      <c r="G8" s="24">
        <f t="shared" si="0"/>
        <v>0</v>
      </c>
    </row>
    <row r="9" spans="1:7" ht="16.05" customHeight="1" x14ac:dyDescent="0.3">
      <c r="A9" s="18" t="s">
        <v>21</v>
      </c>
      <c r="B9" s="19" t="s">
        <v>22</v>
      </c>
      <c r="C9" s="20"/>
      <c r="D9" s="21" t="s">
        <v>16</v>
      </c>
      <c r="E9" s="22"/>
      <c r="F9" s="23"/>
      <c r="G9" s="24">
        <f t="shared" si="0"/>
        <v>0</v>
      </c>
    </row>
    <row r="10" spans="1:7" ht="16.05" customHeight="1" x14ac:dyDescent="0.3">
      <c r="A10" s="25" t="s">
        <v>23</v>
      </c>
      <c r="B10" s="26" t="s">
        <v>24</v>
      </c>
      <c r="C10" s="20"/>
      <c r="D10" s="21" t="s">
        <v>16</v>
      </c>
      <c r="E10" s="22"/>
      <c r="F10" s="23"/>
      <c r="G10" s="24">
        <f t="shared" si="0"/>
        <v>0</v>
      </c>
    </row>
    <row r="11" spans="1:7" ht="16.05" customHeight="1" x14ac:dyDescent="0.3">
      <c r="A11" s="18" t="s">
        <v>25</v>
      </c>
      <c r="B11" s="19" t="s">
        <v>26</v>
      </c>
      <c r="C11" s="20"/>
      <c r="D11" s="21" t="s">
        <v>16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27</v>
      </c>
      <c r="B12" s="26" t="s">
        <v>28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29</v>
      </c>
      <c r="B13" s="19" t="s">
        <v>30</v>
      </c>
      <c r="C13" s="20"/>
      <c r="D13" s="21" t="s">
        <v>16</v>
      </c>
      <c r="E13" s="22"/>
      <c r="F13" s="23"/>
      <c r="G13" s="24">
        <f t="shared" si="0"/>
        <v>0</v>
      </c>
    </row>
    <row r="14" spans="1:7" ht="16.05" customHeight="1" x14ac:dyDescent="0.3">
      <c r="A14" s="25" t="s">
        <v>31</v>
      </c>
      <c r="B14" s="26" t="s">
        <v>32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33</v>
      </c>
      <c r="B15" s="19" t="s">
        <v>34</v>
      </c>
      <c r="C15" s="20" t="s">
        <v>16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35</v>
      </c>
      <c r="B16" s="26" t="s">
        <v>36</v>
      </c>
      <c r="C16" s="20" t="s">
        <v>16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37</v>
      </c>
      <c r="B17" s="19" t="s">
        <v>38</v>
      </c>
      <c r="C17" s="20" t="s">
        <v>16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39</v>
      </c>
      <c r="B18" s="26" t="s">
        <v>40</v>
      </c>
      <c r="C18" s="20" t="s">
        <v>16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41</v>
      </c>
      <c r="B19" s="19" t="s">
        <v>42</v>
      </c>
      <c r="C19" s="20" t="s">
        <v>16</v>
      </c>
      <c r="D19" s="21"/>
      <c r="E19" s="22">
        <v>1</v>
      </c>
      <c r="F19" s="23"/>
      <c r="G19" s="24">
        <f t="shared" si="0"/>
        <v>1</v>
      </c>
    </row>
    <row r="20" spans="1:7" ht="16.05" customHeight="1" x14ac:dyDescent="0.3">
      <c r="A20" s="25" t="s">
        <v>43</v>
      </c>
      <c r="B20" s="26" t="s">
        <v>44</v>
      </c>
      <c r="C20" s="20" t="s">
        <v>16</v>
      </c>
      <c r="D20" s="21"/>
      <c r="E20" s="22">
        <v>1</v>
      </c>
      <c r="F20" s="23"/>
      <c r="G20" s="24">
        <f t="shared" si="0"/>
        <v>1</v>
      </c>
    </row>
    <row r="21" spans="1:7" ht="16.05" customHeight="1" x14ac:dyDescent="0.3">
      <c r="A21" s="18" t="s">
        <v>45</v>
      </c>
      <c r="B21" s="19" t="s">
        <v>46</v>
      </c>
      <c r="C21" s="20"/>
      <c r="D21" s="21" t="s">
        <v>16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47</v>
      </c>
      <c r="B22" s="26" t="s">
        <v>48</v>
      </c>
      <c r="C22" s="20"/>
      <c r="D22" s="21" t="s">
        <v>16</v>
      </c>
      <c r="E22" s="22"/>
      <c r="F22" s="23"/>
      <c r="G22" s="24">
        <f t="shared" si="0"/>
        <v>0</v>
      </c>
    </row>
    <row r="23" spans="1:7" ht="16.05" customHeight="1" x14ac:dyDescent="0.3">
      <c r="A23" s="18" t="s">
        <v>49</v>
      </c>
      <c r="B23" s="19" t="s">
        <v>50</v>
      </c>
      <c r="C23" s="20" t="s">
        <v>16</v>
      </c>
      <c r="D23" s="21"/>
      <c r="E23" s="22"/>
      <c r="F23" s="23"/>
      <c r="G23" s="24">
        <f t="shared" si="0"/>
        <v>0</v>
      </c>
    </row>
    <row r="24" spans="1:7" ht="16.05" customHeight="1" x14ac:dyDescent="0.3">
      <c r="A24" s="25" t="s">
        <v>51</v>
      </c>
      <c r="B24" s="26" t="s">
        <v>52</v>
      </c>
      <c r="C24" s="20" t="s">
        <v>16</v>
      </c>
      <c r="D24" s="21"/>
      <c r="E24" s="22">
        <v>1</v>
      </c>
      <c r="F24" s="23"/>
      <c r="G24" s="24">
        <f t="shared" si="0"/>
        <v>1</v>
      </c>
    </row>
    <row r="25" spans="1:7" ht="16.05" customHeight="1" x14ac:dyDescent="0.3">
      <c r="A25" s="18" t="s">
        <v>53</v>
      </c>
      <c r="B25" s="19" t="s">
        <v>54</v>
      </c>
      <c r="C25" s="20"/>
      <c r="D25" s="21" t="s">
        <v>16</v>
      </c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tabSelected="1"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5" t="s">
        <v>81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520</v>
      </c>
      <c r="B3" s="19" t="s">
        <v>9</v>
      </c>
      <c r="C3" s="20" t="s">
        <v>16</v>
      </c>
      <c r="D3" s="21"/>
      <c r="E3" s="22"/>
      <c r="F3" s="23"/>
      <c r="G3" s="24">
        <f t="shared" ref="G3:G25" si="0">MAX(0,IF(E3="",0,E3)-IF(F3="",0,F3))</f>
        <v>0</v>
      </c>
    </row>
    <row r="4" spans="1:7" ht="16.05" customHeight="1" x14ac:dyDescent="0.3">
      <c r="A4" s="25" t="s">
        <v>521</v>
      </c>
      <c r="B4" s="26" t="s">
        <v>11</v>
      </c>
      <c r="C4" s="20" t="s">
        <v>16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522</v>
      </c>
      <c r="B5" s="19" t="s">
        <v>13</v>
      </c>
      <c r="C5" s="20"/>
      <c r="D5" s="21" t="s">
        <v>16</v>
      </c>
      <c r="E5" s="22"/>
      <c r="F5" s="23"/>
      <c r="G5" s="24">
        <f t="shared" si="0"/>
        <v>0</v>
      </c>
    </row>
    <row r="6" spans="1:7" ht="16.05" customHeight="1" x14ac:dyDescent="0.3">
      <c r="A6" s="25" t="s">
        <v>523</v>
      </c>
      <c r="B6" s="26" t="s">
        <v>15</v>
      </c>
      <c r="C6" s="20"/>
      <c r="D6" s="21" t="s">
        <v>16</v>
      </c>
      <c r="E6" s="22"/>
      <c r="F6" s="23"/>
      <c r="G6" s="24">
        <f t="shared" si="0"/>
        <v>0</v>
      </c>
    </row>
    <row r="7" spans="1:7" ht="16.05" customHeight="1" x14ac:dyDescent="0.3">
      <c r="A7" s="18" t="s">
        <v>524</v>
      </c>
      <c r="B7" s="19" t="s">
        <v>18</v>
      </c>
      <c r="C7" s="20" t="s">
        <v>16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525</v>
      </c>
      <c r="B8" s="26" t="s">
        <v>20</v>
      </c>
      <c r="C8" s="20" t="s">
        <v>16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526</v>
      </c>
      <c r="B9" s="19" t="s">
        <v>22</v>
      </c>
      <c r="C9" s="20" t="s">
        <v>16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527</v>
      </c>
      <c r="B10" s="26" t="s">
        <v>24</v>
      </c>
      <c r="C10" s="20" t="s">
        <v>16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528</v>
      </c>
      <c r="B11" s="19" t="s">
        <v>26</v>
      </c>
      <c r="C11" s="20"/>
      <c r="D11" s="21" t="s">
        <v>16</v>
      </c>
      <c r="E11" s="22"/>
      <c r="F11" s="23"/>
      <c r="G11" s="24">
        <f t="shared" si="0"/>
        <v>0</v>
      </c>
    </row>
    <row r="12" spans="1:7" ht="16.05" customHeight="1" x14ac:dyDescent="0.3">
      <c r="A12" s="25" t="s">
        <v>529</v>
      </c>
      <c r="B12" s="26" t="s">
        <v>28</v>
      </c>
      <c r="C12" s="20" t="s">
        <v>16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530</v>
      </c>
      <c r="B13" s="19" t="s">
        <v>30</v>
      </c>
      <c r="C13" s="20" t="s">
        <v>16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531</v>
      </c>
      <c r="B14" s="26" t="s">
        <v>32</v>
      </c>
      <c r="C14" s="20" t="s">
        <v>16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532</v>
      </c>
      <c r="B15" s="19" t="s">
        <v>34</v>
      </c>
      <c r="C15" s="20" t="s">
        <v>16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533</v>
      </c>
      <c r="B16" s="26" t="s">
        <v>36</v>
      </c>
      <c r="C16" s="20" t="s">
        <v>16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534</v>
      </c>
      <c r="B17" s="19" t="s">
        <v>38</v>
      </c>
      <c r="C17" s="20" t="s">
        <v>16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535</v>
      </c>
      <c r="B18" s="26" t="s">
        <v>40</v>
      </c>
      <c r="C18" s="20" t="s">
        <v>16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536</v>
      </c>
      <c r="B19" s="19" t="s">
        <v>42</v>
      </c>
      <c r="C19" s="20" t="s">
        <v>16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537</v>
      </c>
      <c r="B20" s="26" t="s">
        <v>44</v>
      </c>
      <c r="C20" s="20" t="s">
        <v>16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538</v>
      </c>
      <c r="B21" s="19" t="s">
        <v>46</v>
      </c>
      <c r="C21" s="20"/>
      <c r="D21" s="21" t="s">
        <v>16</v>
      </c>
      <c r="E21" s="22"/>
      <c r="F21" s="23"/>
      <c r="G21" s="24">
        <f t="shared" si="0"/>
        <v>0</v>
      </c>
    </row>
    <row r="22" spans="1:7" ht="16.05" customHeight="1" x14ac:dyDescent="0.3">
      <c r="A22" s="25" t="s">
        <v>539</v>
      </c>
      <c r="B22" s="26" t="s">
        <v>48</v>
      </c>
      <c r="C22" s="20"/>
      <c r="D22" s="21" t="s">
        <v>16</v>
      </c>
      <c r="E22" s="22"/>
      <c r="F22" s="23"/>
      <c r="G22" s="24">
        <f t="shared" si="0"/>
        <v>0</v>
      </c>
    </row>
    <row r="23" spans="1:7" ht="16.05" customHeight="1" x14ac:dyDescent="0.3">
      <c r="A23" s="18" t="s">
        <v>540</v>
      </c>
      <c r="B23" s="19" t="s">
        <v>50</v>
      </c>
      <c r="C23" s="20"/>
      <c r="D23" s="21" t="s">
        <v>16</v>
      </c>
      <c r="E23" s="22"/>
      <c r="F23" s="23"/>
      <c r="G23" s="24">
        <f t="shared" si="0"/>
        <v>0</v>
      </c>
    </row>
    <row r="24" spans="1:7" ht="16.05" customHeight="1" x14ac:dyDescent="0.3">
      <c r="A24" s="25" t="s">
        <v>541</v>
      </c>
      <c r="B24" s="26" t="s">
        <v>52</v>
      </c>
      <c r="C24" s="20" t="s">
        <v>16</v>
      </c>
      <c r="D24" s="21"/>
      <c r="E24" s="22"/>
      <c r="F24" s="23"/>
      <c r="G24" s="24">
        <f t="shared" si="0"/>
        <v>0</v>
      </c>
    </row>
    <row r="25" spans="1:7" ht="16.05" customHeight="1" x14ac:dyDescent="0.3">
      <c r="A25" s="18" t="s">
        <v>542</v>
      </c>
      <c r="B25" s="19" t="s">
        <v>54</v>
      </c>
      <c r="C25" s="20" t="s">
        <v>16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82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543</v>
      </c>
      <c r="B3" s="19" t="s">
        <v>544</v>
      </c>
      <c r="C3" s="20"/>
      <c r="D3" s="21"/>
      <c r="E3" s="22"/>
      <c r="F3" s="23"/>
      <c r="G3" s="24">
        <f t="shared" ref="G3:G17" si="0">MAX(0,IF(E3="",0,E3)-IF(F3="",0,F3))</f>
        <v>0</v>
      </c>
    </row>
    <row r="4" spans="1:7" ht="16.05" customHeight="1" x14ac:dyDescent="0.3">
      <c r="A4" s="25" t="s">
        <v>545</v>
      </c>
      <c r="B4" s="26" t="s">
        <v>546</v>
      </c>
      <c r="C4" s="20"/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547</v>
      </c>
      <c r="B5" s="19" t="s">
        <v>548</v>
      </c>
      <c r="C5" s="20"/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549</v>
      </c>
      <c r="B6" s="26" t="s">
        <v>550</v>
      </c>
      <c r="C6" s="20"/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551</v>
      </c>
      <c r="B7" s="19" t="s">
        <v>552</v>
      </c>
      <c r="C7" s="20"/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553</v>
      </c>
      <c r="B8" s="26" t="s">
        <v>554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555</v>
      </c>
      <c r="B9" s="19" t="s">
        <v>556</v>
      </c>
      <c r="C9" s="20"/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557</v>
      </c>
      <c r="B10" s="26" t="s">
        <v>558</v>
      </c>
      <c r="C10" s="20"/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559</v>
      </c>
      <c r="B11" s="19" t="s">
        <v>560</v>
      </c>
      <c r="C11" s="20" t="s">
        <v>16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561</v>
      </c>
      <c r="B12" s="26" t="s">
        <v>562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563</v>
      </c>
      <c r="B13" s="19" t="s">
        <v>564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565</v>
      </c>
      <c r="B14" s="26" t="s">
        <v>566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567</v>
      </c>
      <c r="B15" s="19" t="s">
        <v>568</v>
      </c>
      <c r="C15" s="20" t="s">
        <v>16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569</v>
      </c>
      <c r="B16" s="26" t="s">
        <v>570</v>
      </c>
      <c r="C16" s="20"/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571</v>
      </c>
      <c r="B17" s="19" t="s">
        <v>572</v>
      </c>
      <c r="C17" s="20"/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2"/>
  <sheetViews>
    <sheetView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573</v>
      </c>
      <c r="B1" s="46"/>
      <c r="C1" s="46"/>
      <c r="D1" s="46"/>
      <c r="E1" s="46"/>
      <c r="F1" s="46"/>
      <c r="G1" s="4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574</v>
      </c>
      <c r="B3" s="19" t="s">
        <v>575</v>
      </c>
      <c r="C3" s="20"/>
      <c r="D3" s="21"/>
      <c r="E3" s="22"/>
      <c r="F3" s="23"/>
      <c r="G3" s="24">
        <f t="shared" ref="G3:G34" si="0">MAX(0,IF(E3="",0,E3)-IF(F3="",0,F3))</f>
        <v>0</v>
      </c>
    </row>
    <row r="4" spans="1:7" ht="16.05" customHeight="1" x14ac:dyDescent="0.3">
      <c r="A4" s="25" t="s">
        <v>576</v>
      </c>
      <c r="B4" s="26" t="s">
        <v>577</v>
      </c>
      <c r="C4" s="20"/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578</v>
      </c>
      <c r="B5" s="19" t="s">
        <v>579</v>
      </c>
      <c r="C5" s="20"/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580</v>
      </c>
      <c r="B6" s="26" t="s">
        <v>581</v>
      </c>
      <c r="C6" s="20"/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582</v>
      </c>
      <c r="B7" s="19" t="s">
        <v>583</v>
      </c>
      <c r="C7" s="20"/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584</v>
      </c>
      <c r="B8" s="26" t="s">
        <v>585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586</v>
      </c>
      <c r="B9" s="19" t="s">
        <v>587</v>
      </c>
      <c r="C9" s="20"/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588</v>
      </c>
      <c r="B10" s="26" t="s">
        <v>589</v>
      </c>
      <c r="C10" s="20"/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590</v>
      </c>
      <c r="B11" s="19" t="s">
        <v>591</v>
      </c>
      <c r="C11" s="20"/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592</v>
      </c>
      <c r="B12" s="26" t="s">
        <v>593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594</v>
      </c>
      <c r="B13" s="19" t="s">
        <v>595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596</v>
      </c>
      <c r="B14" s="26" t="s">
        <v>597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598</v>
      </c>
      <c r="B15" s="19" t="s">
        <v>599</v>
      </c>
      <c r="C15" s="20"/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600</v>
      </c>
      <c r="B16" s="26" t="s">
        <v>601</v>
      </c>
      <c r="C16" s="20"/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602</v>
      </c>
      <c r="B17" s="19" t="s">
        <v>603</v>
      </c>
      <c r="C17" s="20"/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604</v>
      </c>
      <c r="B18" s="26" t="s">
        <v>605</v>
      </c>
      <c r="C18" s="20"/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606</v>
      </c>
      <c r="B19" s="19" t="s">
        <v>607</v>
      </c>
      <c r="C19" s="20"/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608</v>
      </c>
      <c r="B20" s="26" t="s">
        <v>609</v>
      </c>
      <c r="C20" s="20"/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610</v>
      </c>
      <c r="B21" s="19" t="s">
        <v>611</v>
      </c>
      <c r="C21" s="20"/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612</v>
      </c>
      <c r="B22" s="26" t="s">
        <v>613</v>
      </c>
      <c r="C22" s="20"/>
      <c r="D22" s="21"/>
      <c r="E22" s="22"/>
      <c r="F22" s="23"/>
      <c r="G22" s="24">
        <f t="shared" si="0"/>
        <v>0</v>
      </c>
    </row>
    <row r="23" spans="1:7" ht="16.05" customHeight="1" x14ac:dyDescent="0.3">
      <c r="A23" s="18" t="s">
        <v>614</v>
      </c>
      <c r="B23" s="19" t="s">
        <v>615</v>
      </c>
      <c r="C23" s="20"/>
      <c r="D23" s="21"/>
      <c r="E23" s="22"/>
      <c r="F23" s="23"/>
      <c r="G23" s="24">
        <f t="shared" si="0"/>
        <v>0</v>
      </c>
    </row>
    <row r="24" spans="1:7" ht="16.05" customHeight="1" x14ac:dyDescent="0.3">
      <c r="A24" s="25" t="s">
        <v>616</v>
      </c>
      <c r="B24" s="26" t="s">
        <v>617</v>
      </c>
      <c r="C24" s="20"/>
      <c r="D24" s="21"/>
      <c r="E24" s="22"/>
      <c r="F24" s="23"/>
      <c r="G24" s="24">
        <f t="shared" si="0"/>
        <v>0</v>
      </c>
    </row>
    <row r="25" spans="1:7" ht="16.05" customHeight="1" x14ac:dyDescent="0.3">
      <c r="A25" s="18" t="s">
        <v>618</v>
      </c>
      <c r="B25" s="19" t="s">
        <v>619</v>
      </c>
      <c r="C25" s="20"/>
      <c r="D25" s="21"/>
      <c r="E25" s="22"/>
      <c r="F25" s="23"/>
      <c r="G25" s="24">
        <f t="shared" si="0"/>
        <v>0</v>
      </c>
    </row>
    <row r="26" spans="1:7" ht="16.05" customHeight="1" x14ac:dyDescent="0.3">
      <c r="A26" s="25" t="s">
        <v>620</v>
      </c>
      <c r="B26" s="26" t="s">
        <v>621</v>
      </c>
      <c r="C26" s="20"/>
      <c r="D26" s="21"/>
      <c r="E26" s="22"/>
      <c r="F26" s="23"/>
      <c r="G26" s="24">
        <f t="shared" si="0"/>
        <v>0</v>
      </c>
    </row>
    <row r="27" spans="1:7" ht="16.05" customHeight="1" x14ac:dyDescent="0.3">
      <c r="A27" s="18" t="s">
        <v>622</v>
      </c>
      <c r="B27" s="19" t="s">
        <v>623</v>
      </c>
      <c r="C27" s="20"/>
      <c r="D27" s="21"/>
      <c r="E27" s="22"/>
      <c r="F27" s="23"/>
      <c r="G27" s="24">
        <f t="shared" si="0"/>
        <v>0</v>
      </c>
    </row>
    <row r="28" spans="1:7" ht="16.05" customHeight="1" x14ac:dyDescent="0.3">
      <c r="A28" s="25" t="s">
        <v>624</v>
      </c>
      <c r="B28" s="26" t="s">
        <v>625</v>
      </c>
      <c r="C28" s="20"/>
      <c r="D28" s="21"/>
      <c r="E28" s="22"/>
      <c r="F28" s="23"/>
      <c r="G28" s="24">
        <f t="shared" si="0"/>
        <v>0</v>
      </c>
    </row>
    <row r="29" spans="1:7" ht="16.05" customHeight="1" x14ac:dyDescent="0.3">
      <c r="A29" s="18" t="s">
        <v>626</v>
      </c>
      <c r="B29" s="19" t="s">
        <v>627</v>
      </c>
      <c r="C29" s="20"/>
      <c r="D29" s="21"/>
      <c r="E29" s="22"/>
      <c r="F29" s="23"/>
      <c r="G29" s="24">
        <f t="shared" si="0"/>
        <v>0</v>
      </c>
    </row>
    <row r="30" spans="1:7" ht="16.05" customHeight="1" x14ac:dyDescent="0.3">
      <c r="A30" s="25" t="s">
        <v>628</v>
      </c>
      <c r="B30" s="26" t="s">
        <v>629</v>
      </c>
      <c r="C30" s="20"/>
      <c r="D30" s="21"/>
      <c r="E30" s="22"/>
      <c r="F30" s="23"/>
      <c r="G30" s="24">
        <f t="shared" si="0"/>
        <v>0</v>
      </c>
    </row>
    <row r="31" spans="1:7" ht="16.05" customHeight="1" x14ac:dyDescent="0.3">
      <c r="A31" s="18" t="s">
        <v>630</v>
      </c>
      <c r="B31" s="19" t="s">
        <v>631</v>
      </c>
      <c r="C31" s="20"/>
      <c r="D31" s="21"/>
      <c r="E31" s="22"/>
      <c r="F31" s="23"/>
      <c r="G31" s="24">
        <f t="shared" si="0"/>
        <v>0</v>
      </c>
    </row>
    <row r="32" spans="1:7" ht="16.05" customHeight="1" x14ac:dyDescent="0.3">
      <c r="A32" s="25" t="s">
        <v>632</v>
      </c>
      <c r="B32" s="26" t="s">
        <v>633</v>
      </c>
      <c r="C32" s="20"/>
      <c r="D32" s="21"/>
      <c r="E32" s="22"/>
      <c r="F32" s="23"/>
      <c r="G32" s="24">
        <f t="shared" si="0"/>
        <v>0</v>
      </c>
    </row>
    <row r="33" spans="1:7" ht="16.05" customHeight="1" x14ac:dyDescent="0.3">
      <c r="A33" s="18" t="s">
        <v>634</v>
      </c>
      <c r="B33" s="19" t="s">
        <v>635</v>
      </c>
      <c r="C33" s="20"/>
      <c r="D33" s="21"/>
      <c r="E33" s="22"/>
      <c r="F33" s="23"/>
      <c r="G33" s="24">
        <f t="shared" si="0"/>
        <v>0</v>
      </c>
    </row>
    <row r="34" spans="1:7" ht="16.05" customHeight="1" x14ac:dyDescent="0.3">
      <c r="A34" s="25" t="s">
        <v>636</v>
      </c>
      <c r="B34" s="26" t="s">
        <v>637</v>
      </c>
      <c r="C34" s="20"/>
      <c r="D34" s="21"/>
      <c r="E34" s="22"/>
      <c r="F34" s="23"/>
      <c r="G34" s="24">
        <f t="shared" si="0"/>
        <v>0</v>
      </c>
    </row>
    <row r="35" spans="1:7" ht="16.05" customHeight="1" x14ac:dyDescent="0.3">
      <c r="A35" s="18" t="s">
        <v>638</v>
      </c>
      <c r="B35" s="19" t="s">
        <v>639</v>
      </c>
      <c r="C35" s="20"/>
      <c r="D35" s="21"/>
      <c r="E35" s="22"/>
      <c r="F35" s="23"/>
      <c r="G35" s="24">
        <f t="shared" ref="G35:G66" si="1">MAX(0,IF(E35="",0,E35)-IF(F35="",0,F35))</f>
        <v>0</v>
      </c>
    </row>
    <row r="36" spans="1:7" ht="16.05" customHeight="1" x14ac:dyDescent="0.3">
      <c r="A36" s="25" t="s">
        <v>640</v>
      </c>
      <c r="B36" s="26" t="s">
        <v>641</v>
      </c>
      <c r="C36" s="20"/>
      <c r="D36" s="21"/>
      <c r="E36" s="22"/>
      <c r="F36" s="23"/>
      <c r="G36" s="24">
        <f t="shared" si="1"/>
        <v>0</v>
      </c>
    </row>
    <row r="37" spans="1:7" ht="16.05" customHeight="1" x14ac:dyDescent="0.3">
      <c r="A37" s="18" t="s">
        <v>642</v>
      </c>
      <c r="B37" s="19" t="s">
        <v>643</v>
      </c>
      <c r="C37" s="20"/>
      <c r="D37" s="21"/>
      <c r="E37" s="22"/>
      <c r="F37" s="23"/>
      <c r="G37" s="24">
        <f t="shared" si="1"/>
        <v>0</v>
      </c>
    </row>
    <row r="38" spans="1:7" ht="16.05" customHeight="1" x14ac:dyDescent="0.3">
      <c r="A38" s="25" t="s">
        <v>644</v>
      </c>
      <c r="B38" s="26" t="s">
        <v>645</v>
      </c>
      <c r="C38" s="20"/>
      <c r="D38" s="21"/>
      <c r="E38" s="22"/>
      <c r="F38" s="23"/>
      <c r="G38" s="24">
        <f t="shared" si="1"/>
        <v>0</v>
      </c>
    </row>
    <row r="39" spans="1:7" ht="16.05" customHeight="1" x14ac:dyDescent="0.3">
      <c r="A39" s="18" t="s">
        <v>646</v>
      </c>
      <c r="B39" s="19" t="s">
        <v>647</v>
      </c>
      <c r="C39" s="20"/>
      <c r="D39" s="21"/>
      <c r="E39" s="22"/>
      <c r="F39" s="23"/>
      <c r="G39" s="24">
        <f t="shared" si="1"/>
        <v>0</v>
      </c>
    </row>
    <row r="40" spans="1:7" ht="16.05" customHeight="1" x14ac:dyDescent="0.3">
      <c r="A40" s="25" t="s">
        <v>648</v>
      </c>
      <c r="B40" s="26" t="s">
        <v>649</v>
      </c>
      <c r="C40" s="20"/>
      <c r="D40" s="21"/>
      <c r="E40" s="22"/>
      <c r="F40" s="23"/>
      <c r="G40" s="24">
        <f t="shared" si="1"/>
        <v>0</v>
      </c>
    </row>
    <row r="41" spans="1:7" ht="16.05" customHeight="1" x14ac:dyDescent="0.3">
      <c r="A41" s="18" t="s">
        <v>650</v>
      </c>
      <c r="B41" s="19" t="s">
        <v>651</v>
      </c>
      <c r="C41" s="20"/>
      <c r="D41" s="21"/>
      <c r="E41" s="22"/>
      <c r="F41" s="23"/>
      <c r="G41" s="24">
        <f t="shared" si="1"/>
        <v>0</v>
      </c>
    </row>
    <row r="42" spans="1:7" ht="16.05" customHeight="1" x14ac:dyDescent="0.3">
      <c r="A42" s="25" t="s">
        <v>652</v>
      </c>
      <c r="B42" s="26" t="s">
        <v>653</v>
      </c>
      <c r="C42" s="20"/>
      <c r="D42" s="21"/>
      <c r="E42" s="22"/>
      <c r="F42" s="23"/>
      <c r="G42" s="24">
        <f t="shared" si="1"/>
        <v>0</v>
      </c>
    </row>
    <row r="43" spans="1:7" ht="16.05" customHeight="1" x14ac:dyDescent="0.3">
      <c r="A43" s="18" t="s">
        <v>654</v>
      </c>
      <c r="B43" s="19" t="s">
        <v>655</v>
      </c>
      <c r="C43" s="20"/>
      <c r="D43" s="21"/>
      <c r="E43" s="22"/>
      <c r="F43" s="23"/>
      <c r="G43" s="24">
        <f t="shared" si="1"/>
        <v>0</v>
      </c>
    </row>
    <row r="44" spans="1:7" ht="16.05" customHeight="1" x14ac:dyDescent="0.3">
      <c r="A44" s="25" t="s">
        <v>656</v>
      </c>
      <c r="B44" s="26" t="s">
        <v>657</v>
      </c>
      <c r="C44" s="20"/>
      <c r="D44" s="21"/>
      <c r="E44" s="22"/>
      <c r="F44" s="23"/>
      <c r="G44" s="24">
        <f t="shared" si="1"/>
        <v>0</v>
      </c>
    </row>
    <row r="45" spans="1:7" ht="16.05" customHeight="1" x14ac:dyDescent="0.3">
      <c r="A45" s="18" t="s">
        <v>658</v>
      </c>
      <c r="B45" s="19" t="s">
        <v>659</v>
      </c>
      <c r="C45" s="20"/>
      <c r="D45" s="21"/>
      <c r="E45" s="22"/>
      <c r="F45" s="23"/>
      <c r="G45" s="24">
        <f t="shared" si="1"/>
        <v>0</v>
      </c>
    </row>
    <row r="46" spans="1:7" ht="16.05" customHeight="1" x14ac:dyDescent="0.3">
      <c r="A46" s="25" t="s">
        <v>660</v>
      </c>
      <c r="B46" s="26" t="s">
        <v>661</v>
      </c>
      <c r="C46" s="20"/>
      <c r="D46" s="21"/>
      <c r="E46" s="22"/>
      <c r="F46" s="23"/>
      <c r="G46" s="24">
        <f t="shared" si="1"/>
        <v>0</v>
      </c>
    </row>
    <row r="47" spans="1:7" ht="16.05" customHeight="1" x14ac:dyDescent="0.3">
      <c r="A47" s="18" t="s">
        <v>662</v>
      </c>
      <c r="B47" s="19" t="s">
        <v>663</v>
      </c>
      <c r="C47" s="20"/>
      <c r="D47" s="21"/>
      <c r="E47" s="22"/>
      <c r="F47" s="23"/>
      <c r="G47" s="24">
        <f t="shared" si="1"/>
        <v>0</v>
      </c>
    </row>
    <row r="48" spans="1:7" ht="16.05" customHeight="1" x14ac:dyDescent="0.3">
      <c r="A48" s="25" t="s">
        <v>664</v>
      </c>
      <c r="B48" s="26" t="s">
        <v>665</v>
      </c>
      <c r="C48" s="20"/>
      <c r="D48" s="21"/>
      <c r="E48" s="22"/>
      <c r="F48" s="23"/>
      <c r="G48" s="24">
        <f t="shared" si="1"/>
        <v>0</v>
      </c>
    </row>
    <row r="49" spans="1:7" ht="16.05" customHeight="1" x14ac:dyDescent="0.3">
      <c r="A49" s="18" t="s">
        <v>666</v>
      </c>
      <c r="B49" s="19" t="s">
        <v>667</v>
      </c>
      <c r="C49" s="20"/>
      <c r="D49" s="21"/>
      <c r="E49" s="22"/>
      <c r="F49" s="23"/>
      <c r="G49" s="24">
        <f t="shared" si="1"/>
        <v>0</v>
      </c>
    </row>
    <row r="50" spans="1:7" ht="16.05" customHeight="1" x14ac:dyDescent="0.3">
      <c r="A50" s="25" t="s">
        <v>668</v>
      </c>
      <c r="B50" s="26" t="s">
        <v>669</v>
      </c>
      <c r="C50" s="20"/>
      <c r="D50" s="21"/>
      <c r="E50" s="22"/>
      <c r="F50" s="23"/>
      <c r="G50" s="24">
        <f t="shared" si="1"/>
        <v>0</v>
      </c>
    </row>
    <row r="51" spans="1:7" ht="16.05" customHeight="1" x14ac:dyDescent="0.3">
      <c r="A51" s="18" t="s">
        <v>670</v>
      </c>
      <c r="B51" s="19" t="s">
        <v>671</v>
      </c>
      <c r="C51" s="20"/>
      <c r="D51" s="21"/>
      <c r="E51" s="22"/>
      <c r="F51" s="23"/>
      <c r="G51" s="24">
        <f t="shared" si="1"/>
        <v>0</v>
      </c>
    </row>
    <row r="52" spans="1:7" ht="16.05" customHeight="1" x14ac:dyDescent="0.3">
      <c r="A52" s="25" t="s">
        <v>672</v>
      </c>
      <c r="B52" s="26" t="s">
        <v>673</v>
      </c>
      <c r="C52" s="20"/>
      <c r="D52" s="21"/>
      <c r="E52" s="22"/>
      <c r="F52" s="23"/>
      <c r="G52" s="24">
        <f t="shared" si="1"/>
        <v>0</v>
      </c>
    </row>
    <row r="53" spans="1:7" ht="16.05" customHeight="1" x14ac:dyDescent="0.3">
      <c r="A53" s="18" t="s">
        <v>674</v>
      </c>
      <c r="B53" s="19" t="s">
        <v>675</v>
      </c>
      <c r="C53" s="20"/>
      <c r="D53" s="21"/>
      <c r="E53" s="22"/>
      <c r="F53" s="23"/>
      <c r="G53" s="24">
        <f t="shared" si="1"/>
        <v>0</v>
      </c>
    </row>
    <row r="54" spans="1:7" ht="16.05" customHeight="1" x14ac:dyDescent="0.3">
      <c r="A54" s="25" t="s">
        <v>676</v>
      </c>
      <c r="B54" s="26" t="s">
        <v>677</v>
      </c>
      <c r="C54" s="20"/>
      <c r="D54" s="21"/>
      <c r="E54" s="22"/>
      <c r="F54" s="23"/>
      <c r="G54" s="24">
        <f t="shared" si="1"/>
        <v>0</v>
      </c>
    </row>
    <row r="55" spans="1:7" ht="16.05" customHeight="1" x14ac:dyDescent="0.3">
      <c r="A55" s="18" t="s">
        <v>678</v>
      </c>
      <c r="B55" s="19" t="s">
        <v>679</v>
      </c>
      <c r="C55" s="20"/>
      <c r="D55" s="21"/>
      <c r="E55" s="22"/>
      <c r="F55" s="23"/>
      <c r="G55" s="24">
        <f t="shared" si="1"/>
        <v>0</v>
      </c>
    </row>
    <row r="56" spans="1:7" ht="16.05" customHeight="1" x14ac:dyDescent="0.3">
      <c r="A56" s="25" t="s">
        <v>680</v>
      </c>
      <c r="B56" s="26" t="s">
        <v>681</v>
      </c>
      <c r="C56" s="20"/>
      <c r="D56" s="21"/>
      <c r="E56" s="22"/>
      <c r="F56" s="23"/>
      <c r="G56" s="24">
        <f t="shared" si="1"/>
        <v>0</v>
      </c>
    </row>
    <row r="57" spans="1:7" ht="16.05" customHeight="1" x14ac:dyDescent="0.3">
      <c r="A57" s="18" t="s">
        <v>682</v>
      </c>
      <c r="B57" s="19" t="s">
        <v>683</v>
      </c>
      <c r="C57" s="20"/>
      <c r="D57" s="21"/>
      <c r="E57" s="22"/>
      <c r="F57" s="23"/>
      <c r="G57" s="24">
        <f t="shared" si="1"/>
        <v>0</v>
      </c>
    </row>
    <row r="58" spans="1:7" ht="16.05" customHeight="1" x14ac:dyDescent="0.3">
      <c r="A58" s="25" t="s">
        <v>684</v>
      </c>
      <c r="B58" s="26" t="s">
        <v>685</v>
      </c>
      <c r="C58" s="20"/>
      <c r="D58" s="21"/>
      <c r="E58" s="22"/>
      <c r="F58" s="23"/>
      <c r="G58" s="24">
        <f t="shared" si="1"/>
        <v>0</v>
      </c>
    </row>
    <row r="59" spans="1:7" ht="16.05" customHeight="1" x14ac:dyDescent="0.3">
      <c r="A59" s="18" t="s">
        <v>686</v>
      </c>
      <c r="B59" s="19" t="s">
        <v>687</v>
      </c>
      <c r="C59" s="20"/>
      <c r="D59" s="21"/>
      <c r="E59" s="22"/>
      <c r="F59" s="23"/>
      <c r="G59" s="24">
        <f t="shared" si="1"/>
        <v>0</v>
      </c>
    </row>
    <row r="60" spans="1:7" ht="16.05" customHeight="1" x14ac:dyDescent="0.3">
      <c r="A60" s="25" t="s">
        <v>688</v>
      </c>
      <c r="B60" s="26" t="s">
        <v>689</v>
      </c>
      <c r="C60" s="20"/>
      <c r="D60" s="21"/>
      <c r="E60" s="22"/>
      <c r="F60" s="23"/>
      <c r="G60" s="24">
        <f t="shared" si="1"/>
        <v>0</v>
      </c>
    </row>
    <row r="61" spans="1:7" ht="16.05" customHeight="1" x14ac:dyDescent="0.3">
      <c r="A61" s="18" t="s">
        <v>690</v>
      </c>
      <c r="B61" s="19" t="s">
        <v>691</v>
      </c>
      <c r="C61" s="20"/>
      <c r="D61" s="21"/>
      <c r="E61" s="22"/>
      <c r="F61" s="23"/>
      <c r="G61" s="24">
        <f t="shared" si="1"/>
        <v>0</v>
      </c>
    </row>
    <row r="62" spans="1:7" ht="16.05" customHeight="1" x14ac:dyDescent="0.3">
      <c r="A62" s="25" t="s">
        <v>692</v>
      </c>
      <c r="B62" s="26" t="s">
        <v>693</v>
      </c>
      <c r="C62" s="20"/>
      <c r="D62" s="21"/>
      <c r="E62" s="22"/>
      <c r="F62" s="23"/>
      <c r="G62" s="24">
        <f t="shared" si="1"/>
        <v>0</v>
      </c>
    </row>
    <row r="63" spans="1:7" ht="16.05" customHeight="1" x14ac:dyDescent="0.3">
      <c r="A63" s="18" t="s">
        <v>694</v>
      </c>
      <c r="B63" s="19" t="s">
        <v>695</v>
      </c>
      <c r="C63" s="20"/>
      <c r="D63" s="21"/>
      <c r="E63" s="22"/>
      <c r="F63" s="23"/>
      <c r="G63" s="24">
        <f t="shared" si="1"/>
        <v>0</v>
      </c>
    </row>
    <row r="64" spans="1:7" ht="16.05" customHeight="1" x14ac:dyDescent="0.3">
      <c r="A64" s="25" t="s">
        <v>696</v>
      </c>
      <c r="B64" s="26" t="s">
        <v>697</v>
      </c>
      <c r="C64" s="20"/>
      <c r="D64" s="21"/>
      <c r="E64" s="22"/>
      <c r="F64" s="23"/>
      <c r="G64" s="24">
        <f t="shared" si="1"/>
        <v>0</v>
      </c>
    </row>
    <row r="65" spans="1:7" ht="16.05" customHeight="1" x14ac:dyDescent="0.3">
      <c r="A65" s="18" t="s">
        <v>698</v>
      </c>
      <c r="B65" s="19" t="s">
        <v>699</v>
      </c>
      <c r="C65" s="20"/>
      <c r="D65" s="21"/>
      <c r="E65" s="22"/>
      <c r="F65" s="23"/>
      <c r="G65" s="24">
        <f t="shared" si="1"/>
        <v>0</v>
      </c>
    </row>
    <row r="66" spans="1:7" ht="16.05" customHeight="1" x14ac:dyDescent="0.3">
      <c r="A66" s="25" t="s">
        <v>700</v>
      </c>
      <c r="B66" s="26" t="s">
        <v>701</v>
      </c>
      <c r="C66" s="20"/>
      <c r="D66" s="21"/>
      <c r="E66" s="22"/>
      <c r="F66" s="23"/>
      <c r="G66" s="24">
        <f t="shared" si="1"/>
        <v>0</v>
      </c>
    </row>
    <row r="67" spans="1:7" ht="16.05" customHeight="1" x14ac:dyDescent="0.3">
      <c r="A67" s="18" t="s">
        <v>702</v>
      </c>
      <c r="B67" s="19" t="s">
        <v>703</v>
      </c>
      <c r="C67" s="20"/>
      <c r="D67" s="21"/>
      <c r="E67" s="22"/>
      <c r="F67" s="23"/>
      <c r="G67" s="24">
        <f t="shared" ref="G67:G82" si="2">MAX(0,IF(E67="",0,E67)-IF(F67="",0,F67))</f>
        <v>0</v>
      </c>
    </row>
    <row r="68" spans="1:7" ht="16.05" customHeight="1" x14ac:dyDescent="0.3">
      <c r="A68" s="25" t="s">
        <v>704</v>
      </c>
      <c r="B68" s="26" t="s">
        <v>705</v>
      </c>
      <c r="C68" s="20"/>
      <c r="D68" s="21"/>
      <c r="E68" s="22"/>
      <c r="F68" s="23"/>
      <c r="G68" s="24">
        <f t="shared" si="2"/>
        <v>0</v>
      </c>
    </row>
    <row r="69" spans="1:7" ht="16.05" customHeight="1" x14ac:dyDescent="0.3">
      <c r="A69" s="18" t="s">
        <v>706</v>
      </c>
      <c r="B69" s="19" t="s">
        <v>707</v>
      </c>
      <c r="C69" s="20"/>
      <c r="D69" s="21"/>
      <c r="E69" s="22"/>
      <c r="F69" s="23"/>
      <c r="G69" s="24">
        <f t="shared" si="2"/>
        <v>0</v>
      </c>
    </row>
    <row r="70" spans="1:7" ht="16.05" customHeight="1" x14ac:dyDescent="0.3">
      <c r="A70" s="25" t="s">
        <v>708</v>
      </c>
      <c r="B70" s="26" t="s">
        <v>709</v>
      </c>
      <c r="C70" s="20"/>
      <c r="D70" s="21"/>
      <c r="E70" s="22"/>
      <c r="F70" s="23"/>
      <c r="G70" s="24">
        <f t="shared" si="2"/>
        <v>0</v>
      </c>
    </row>
    <row r="71" spans="1:7" ht="16.05" customHeight="1" x14ac:dyDescent="0.3">
      <c r="A71" s="18" t="s">
        <v>710</v>
      </c>
      <c r="B71" s="19" t="s">
        <v>711</v>
      </c>
      <c r="C71" s="20"/>
      <c r="D71" s="21"/>
      <c r="E71" s="22"/>
      <c r="F71" s="23"/>
      <c r="G71" s="24">
        <f t="shared" si="2"/>
        <v>0</v>
      </c>
    </row>
    <row r="72" spans="1:7" ht="16.05" customHeight="1" x14ac:dyDescent="0.3">
      <c r="A72" s="25" t="s">
        <v>712</v>
      </c>
      <c r="B72" s="26" t="s">
        <v>713</v>
      </c>
      <c r="C72" s="20"/>
      <c r="D72" s="21"/>
      <c r="E72" s="22"/>
      <c r="F72" s="23"/>
      <c r="G72" s="24">
        <f t="shared" si="2"/>
        <v>0</v>
      </c>
    </row>
    <row r="73" spans="1:7" ht="16.05" customHeight="1" x14ac:dyDescent="0.3">
      <c r="A73" s="18" t="s">
        <v>714</v>
      </c>
      <c r="B73" s="19" t="s">
        <v>715</v>
      </c>
      <c r="C73" s="20"/>
      <c r="D73" s="21"/>
      <c r="E73" s="22"/>
      <c r="F73" s="23"/>
      <c r="G73" s="24">
        <f t="shared" si="2"/>
        <v>0</v>
      </c>
    </row>
    <row r="74" spans="1:7" ht="16.05" customHeight="1" x14ac:dyDescent="0.3">
      <c r="A74" s="25" t="s">
        <v>716</v>
      </c>
      <c r="B74" s="26" t="s">
        <v>717</v>
      </c>
      <c r="C74" s="20"/>
      <c r="D74" s="21"/>
      <c r="E74" s="22"/>
      <c r="F74" s="23"/>
      <c r="G74" s="24">
        <f t="shared" si="2"/>
        <v>0</v>
      </c>
    </row>
    <row r="75" spans="1:7" ht="16.05" customHeight="1" x14ac:dyDescent="0.3">
      <c r="A75" s="18" t="s">
        <v>718</v>
      </c>
      <c r="B75" s="19" t="s">
        <v>719</v>
      </c>
      <c r="C75" s="20"/>
      <c r="D75" s="21"/>
      <c r="E75" s="22"/>
      <c r="F75" s="23"/>
      <c r="G75" s="24">
        <f t="shared" si="2"/>
        <v>0</v>
      </c>
    </row>
    <row r="76" spans="1:7" ht="16.05" customHeight="1" x14ac:dyDescent="0.3">
      <c r="A76" s="25" t="s">
        <v>720</v>
      </c>
      <c r="B76" s="26" t="s">
        <v>721</v>
      </c>
      <c r="C76" s="20"/>
      <c r="D76" s="21"/>
      <c r="E76" s="22"/>
      <c r="F76" s="23"/>
      <c r="G76" s="24">
        <f t="shared" si="2"/>
        <v>0</v>
      </c>
    </row>
    <row r="77" spans="1:7" ht="16.05" customHeight="1" x14ac:dyDescent="0.3">
      <c r="A77" s="18" t="s">
        <v>722</v>
      </c>
      <c r="B77" s="19" t="s">
        <v>723</v>
      </c>
      <c r="C77" s="20"/>
      <c r="D77" s="21"/>
      <c r="E77" s="22"/>
      <c r="F77" s="23"/>
      <c r="G77" s="24">
        <f t="shared" si="2"/>
        <v>0</v>
      </c>
    </row>
    <row r="78" spans="1:7" ht="16.05" customHeight="1" x14ac:dyDescent="0.3">
      <c r="A78" s="25" t="s">
        <v>724</v>
      </c>
      <c r="B78" s="26" t="s">
        <v>725</v>
      </c>
      <c r="C78" s="20"/>
      <c r="D78" s="21"/>
      <c r="E78" s="22"/>
      <c r="F78" s="23"/>
      <c r="G78" s="24">
        <f t="shared" si="2"/>
        <v>0</v>
      </c>
    </row>
    <row r="79" spans="1:7" ht="16.05" customHeight="1" x14ac:dyDescent="0.3">
      <c r="A79" s="18" t="s">
        <v>726</v>
      </c>
      <c r="B79" s="19" t="s">
        <v>727</v>
      </c>
      <c r="C79" s="20"/>
      <c r="D79" s="21"/>
      <c r="E79" s="22"/>
      <c r="F79" s="23"/>
      <c r="G79" s="24">
        <f t="shared" si="2"/>
        <v>0</v>
      </c>
    </row>
    <row r="80" spans="1:7" ht="16.05" customHeight="1" x14ac:dyDescent="0.3">
      <c r="A80" s="25" t="s">
        <v>728</v>
      </c>
      <c r="B80" s="26" t="s">
        <v>729</v>
      </c>
      <c r="C80" s="20"/>
      <c r="D80" s="21"/>
      <c r="E80" s="22"/>
      <c r="F80" s="23"/>
      <c r="G80" s="24">
        <f t="shared" si="2"/>
        <v>0</v>
      </c>
    </row>
    <row r="81" spans="1:7" ht="16.05" customHeight="1" x14ac:dyDescent="0.3">
      <c r="A81" s="18" t="s">
        <v>730</v>
      </c>
      <c r="B81" s="19" t="s">
        <v>731</v>
      </c>
      <c r="C81" s="20"/>
      <c r="D81" s="21"/>
      <c r="E81" s="22"/>
      <c r="F81" s="23"/>
      <c r="G81" s="24">
        <f t="shared" si="2"/>
        <v>0</v>
      </c>
    </row>
    <row r="82" spans="1:7" ht="16.05" customHeight="1" x14ac:dyDescent="0.3">
      <c r="A82" s="25" t="s">
        <v>732</v>
      </c>
      <c r="B82" s="26" t="s">
        <v>733</v>
      </c>
      <c r="C82" s="20"/>
      <c r="D82" s="21"/>
      <c r="E82" s="22"/>
      <c r="F82" s="23"/>
      <c r="G82" s="24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27</vt:i4>
      </vt:variant>
    </vt:vector>
  </HeadingPairs>
  <TitlesOfParts>
    <vt:vector size="27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2026-09-02T15:08:49Z</dcterms:modified>
</cp:coreProperties>
</file>