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26434A75-B74A-46BF-9E3D-B5EA3B23D556}" xr6:coauthVersionLast="47" xr6:coauthVersionMax="47" xr10:uidLastSave="{00000000-0000-0000-0000-000000000000}"/>
  <bookViews>
    <workbookView xWindow="-108" yWindow="-108" windowWidth="23256" windowHeight="12456" firstSheet="20" activeTab="20" xr2:uid="{00000000-000D-0000-FFFF-FFFF00000000}"/>
  </bookViews>
  <sheets>
    <sheet name="RESUMEN" sheetId="1" r:id="rId1"/>
    <sheet name="CHICLE LIGA" sheetId="2" r:id="rId2"/>
    <sheet name="D. ALAVÉS" sheetId="3" r:id="rId3"/>
    <sheet name="ATHLETIC CLUB" sheetId="4" r:id="rId4"/>
    <sheet name="ATLÉTICO DE MADRID" sheetId="5" r:id="rId5"/>
    <sheet name="FC BARCELONA" sheetId="6" r:id="rId6"/>
    <sheet name="REAL BETIS" sheetId="7" r:id="rId7"/>
    <sheet name="CADIZ CF" sheetId="8" r:id="rId8"/>
    <sheet name="RC CELTA" sheetId="9" r:id="rId9"/>
    <sheet name="ELCHE CF" sheetId="10" r:id="rId10"/>
    <sheet name="RCD ESPANYOL" sheetId="11" r:id="rId11"/>
    <sheet name="GETAFE CF" sheetId="12" r:id="rId12"/>
    <sheet name="GRANADA CF" sheetId="13" r:id="rId13"/>
    <sheet name="LEVANTE UD" sheetId="14" r:id="rId14"/>
    <sheet name="REAL MADRID" sheetId="15" r:id="rId15"/>
    <sheet name="RCD MALLORCA" sheetId="16" r:id="rId16"/>
    <sheet name="C.A. OSASUNA" sheetId="17" r:id="rId17"/>
    <sheet name="RAYO VALLECANO" sheetId="18" r:id="rId18"/>
    <sheet name="REAL SOCIEDAD" sheetId="19" r:id="rId19"/>
    <sheet name="SEVILLA FC" sheetId="20" r:id="rId20"/>
    <sheet name="VALENCIA CF" sheetId="21" r:id="rId21"/>
    <sheet name="VILLARREAL CF" sheetId="22" r:id="rId22"/>
    <sheet name="LEYENDAS LaLiga" sheetId="23" r:id="rId23"/>
    <sheet name="FICHAJES DE INVIERNO" sheetId="24" r:id="rId24"/>
    <sheet name="50 ANIVERSARIO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E27" i="1" s="1"/>
  <c r="D3" i="1"/>
  <c r="D27" i="1" s="1"/>
  <c r="C3" i="1"/>
  <c r="C27" i="1" s="1"/>
  <c r="F27" i="1" l="1"/>
</calcChain>
</file>

<file path=xl/sharedStrings.xml><?xml version="1.0" encoding="utf-8"?>
<sst xmlns="http://schemas.openxmlformats.org/spreadsheetml/2006/main" count="2192" uniqueCount="1284">
  <si>
    <t>CHICLE LIGA 2021-22 — SHOW &amp; FUEGO</t>
  </si>
  <si>
    <t>Equipo</t>
  </si>
  <si>
    <t>Tipo</t>
  </si>
  <si>
    <t>Jugador</t>
  </si>
  <si>
    <t>Tengo</t>
  </si>
  <si>
    <t>Pedir</t>
  </si>
  <si>
    <t>Repetidos</t>
  </si>
  <si>
    <t>Enviados</t>
  </si>
  <si>
    <t>D. ALAVÉS</t>
  </si>
  <si>
    <t>ESCUDO</t>
  </si>
  <si>
    <t>Escudo D. ALAVÉS</t>
  </si>
  <si>
    <t>X</t>
  </si>
  <si>
    <t>SHOW</t>
  </si>
  <si>
    <t>Luis Rioja</t>
  </si>
  <si>
    <t>FUEGO</t>
  </si>
  <si>
    <t>Edgar</t>
  </si>
  <si>
    <t>ATHLETIC CLUB</t>
  </si>
  <si>
    <t>Escudo ATHLETIC CLUB</t>
  </si>
  <si>
    <t>Williams</t>
  </si>
  <si>
    <t>Vencedor</t>
  </si>
  <si>
    <t>ATLÉTICO DE MADRID</t>
  </si>
  <si>
    <t>Escudo ATLÉTICO DE MADRID</t>
  </si>
  <si>
    <t>Luis Suárez</t>
  </si>
  <si>
    <t>Marcos Llorente</t>
  </si>
  <si>
    <t>FC BARCELONA</t>
  </si>
  <si>
    <t>Escudo FC BARCELONA</t>
  </si>
  <si>
    <t>De Jong</t>
  </si>
  <si>
    <t>Pedri</t>
  </si>
  <si>
    <t>REAL BETIS</t>
  </si>
  <si>
    <t>Escudo REAL BETIS</t>
  </si>
  <si>
    <t>Canales</t>
  </si>
  <si>
    <t>Álex Moreno</t>
  </si>
  <si>
    <t>CADIZ CF</t>
  </si>
  <si>
    <t>Escudo CADIZ CF</t>
  </si>
  <si>
    <t>Ledesma</t>
  </si>
  <si>
    <t>Salvi</t>
  </si>
  <si>
    <t>RC CELTA</t>
  </si>
  <si>
    <t>Escudo RC CELTA</t>
  </si>
  <si>
    <t>Iago Aspas</t>
  </si>
  <si>
    <t>Brais Méndez</t>
  </si>
  <si>
    <t>ELCHE CF</t>
  </si>
  <si>
    <t>Escudo ELCHE CF</t>
  </si>
  <si>
    <t>Edgar Badía</t>
  </si>
  <si>
    <t>Raúl Guti</t>
  </si>
  <si>
    <t>RCD ESPANYOL</t>
  </si>
  <si>
    <t>Escudo RCD ESPANYOL</t>
  </si>
  <si>
    <t>De Tomás</t>
  </si>
  <si>
    <t>Puado</t>
  </si>
  <si>
    <t>GETAFE CF</t>
  </si>
  <si>
    <t>Escudo GETAFE CF</t>
  </si>
  <si>
    <t>Maksimovic</t>
  </si>
  <si>
    <t>Cucurella</t>
  </si>
  <si>
    <t>GRANADA CF</t>
  </si>
  <si>
    <t>Escudo GRANADA CF</t>
  </si>
  <si>
    <t>Soldado</t>
  </si>
  <si>
    <t>LEVANTE UD</t>
  </si>
  <si>
    <t>Escudo LEVANTE UD</t>
  </si>
  <si>
    <t>Campaña</t>
  </si>
  <si>
    <t>Cárdenas</t>
  </si>
  <si>
    <t>REAL MADRID</t>
  </si>
  <si>
    <t>Escudo REAL MADRID</t>
  </si>
  <si>
    <t>Benzema</t>
  </si>
  <si>
    <t>Vinícius</t>
  </si>
  <si>
    <t>RCD MALLORCA</t>
  </si>
  <si>
    <t>Escudo RCD MALLORCA</t>
  </si>
  <si>
    <t>Salva Sevilla</t>
  </si>
  <si>
    <t>Antonio Sánchez</t>
  </si>
  <si>
    <t>C.A. OSASUNA</t>
  </si>
  <si>
    <t>Escudo C.A. OSASUNA</t>
  </si>
  <si>
    <t>Rubén García</t>
  </si>
  <si>
    <t>Kike Barja</t>
  </si>
  <si>
    <t>RAYO VALLECANO</t>
  </si>
  <si>
    <t>Escudo RAYO VALLECANO</t>
  </si>
  <si>
    <t>Trejo</t>
  </si>
  <si>
    <t>Fran García</t>
  </si>
  <si>
    <t>REAL SOCIEDAD</t>
  </si>
  <si>
    <t>Escudo REAL SOCIEDAD</t>
  </si>
  <si>
    <t>Oyarzabal</t>
  </si>
  <si>
    <t>Guevara</t>
  </si>
  <si>
    <t>SEVILLA FC</t>
  </si>
  <si>
    <t>Escudo SEVILLA FC</t>
  </si>
  <si>
    <t>En-Nesyri</t>
  </si>
  <si>
    <t>Koundé</t>
  </si>
  <si>
    <t>VALENCIA CF</t>
  </si>
  <si>
    <t>Escudo VALENCIA CF</t>
  </si>
  <si>
    <t>Maxi Gómez</t>
  </si>
  <si>
    <t>Kang-In Lee</t>
  </si>
  <si>
    <t>VILLARREAL CF</t>
  </si>
  <si>
    <t>Escudo VILLARREAL CF</t>
  </si>
  <si>
    <t>Gerard Moreno</t>
  </si>
  <si>
    <t>Fer Niño</t>
  </si>
  <si>
    <t>ÁLBUM LaLiga - SEGUIMIENTO DE CROMOS</t>
  </si>
  <si>
    <t>Total Cromos</t>
  </si>
  <si>
    <t>Faltan</t>
  </si>
  <si>
    <t>Repetidos (total)</t>
  </si>
  <si>
    <t>LEYENDAS LaLiga</t>
  </si>
  <si>
    <t>FICHAJES DE INVIERNO</t>
  </si>
  <si>
    <t>50 ANIVERSARIO</t>
  </si>
  <si>
    <t>CHICLE LIGA</t>
  </si>
  <si>
    <t>TOTAL</t>
  </si>
  <si>
    <t>📝 Instrucciones: En cada pestaña, pon una X en "Tengo" cuando tengas el cromo. Si está vacío = te falta. En "Repetidos" escribe cuántas copias extra tienes.</t>
  </si>
  <si>
    <t>Nº</t>
  </si>
  <si>
    <t>Jugador / Cromo</t>
  </si>
  <si>
    <t>001</t>
  </si>
  <si>
    <t>Escudo Alavés</t>
  </si>
  <si>
    <t>002</t>
  </si>
  <si>
    <t>Entrenador - Javi Calleja</t>
  </si>
  <si>
    <t>003</t>
  </si>
  <si>
    <t>Fernando Pacheco</t>
  </si>
  <si>
    <t>004</t>
  </si>
  <si>
    <t>Rookie Impact Tachi</t>
  </si>
  <si>
    <t>005</t>
  </si>
  <si>
    <t>006</t>
  </si>
  <si>
    <t>Sivera</t>
  </si>
  <si>
    <t>007</t>
  </si>
  <si>
    <t>Martín</t>
  </si>
  <si>
    <t>008</t>
  </si>
  <si>
    <t>Ximo Navarro</t>
  </si>
  <si>
    <t>009</t>
  </si>
  <si>
    <t>Laguardia</t>
  </si>
  <si>
    <t>010</t>
  </si>
  <si>
    <t>Lejeune (10A)</t>
  </si>
  <si>
    <t>011</t>
  </si>
  <si>
    <t>Tachi (10B)</t>
  </si>
  <si>
    <t>012</t>
  </si>
  <si>
    <t>Rodrigo Ely</t>
  </si>
  <si>
    <t>013</t>
  </si>
  <si>
    <t>Duarte (12A)</t>
  </si>
  <si>
    <t>014</t>
  </si>
  <si>
    <t>Iván Martín (12B)</t>
  </si>
  <si>
    <t>015</t>
  </si>
  <si>
    <t>Pere Pons</t>
  </si>
  <si>
    <t>016</t>
  </si>
  <si>
    <t>Battaglia</t>
  </si>
  <si>
    <t>017</t>
  </si>
  <si>
    <t>Pina</t>
  </si>
  <si>
    <t>018</t>
  </si>
  <si>
    <t>019</t>
  </si>
  <si>
    <t>Borja Sainz</t>
  </si>
  <si>
    <t>020</t>
  </si>
  <si>
    <t>021</t>
  </si>
  <si>
    <t>Joselu</t>
  </si>
  <si>
    <t>022</t>
  </si>
  <si>
    <t>Lucas Pérez</t>
  </si>
  <si>
    <t>023</t>
  </si>
  <si>
    <t>Javi López (11BIS)</t>
  </si>
  <si>
    <t>024</t>
  </si>
  <si>
    <t>Toni Moya (14BIS)</t>
  </si>
  <si>
    <t>025</t>
  </si>
  <si>
    <t>Pellistri (17BIS)</t>
  </si>
  <si>
    <t>026</t>
  </si>
  <si>
    <t>Guidetti (20BIS)</t>
  </si>
  <si>
    <t>027</t>
  </si>
  <si>
    <t>Miguel De la Fuente (18BIS)</t>
  </si>
  <si>
    <t>041</t>
  </si>
  <si>
    <t>Escudo Athletic Club</t>
  </si>
  <si>
    <t>042</t>
  </si>
  <si>
    <t>Entrenador - Marcelino García</t>
  </si>
  <si>
    <t>043</t>
  </si>
  <si>
    <t>044</t>
  </si>
  <si>
    <t>Rookie Impact Nico Williams</t>
  </si>
  <si>
    <t>045</t>
  </si>
  <si>
    <t>Unai Simón</t>
  </si>
  <si>
    <t>046</t>
  </si>
  <si>
    <t>Ezkieta</t>
  </si>
  <si>
    <t>047</t>
  </si>
  <si>
    <t>Capa</t>
  </si>
  <si>
    <t>048</t>
  </si>
  <si>
    <t>De Marcos (8A)</t>
  </si>
  <si>
    <t>049</t>
  </si>
  <si>
    <t>Nuñez (8B)</t>
  </si>
  <si>
    <t>050</t>
  </si>
  <si>
    <t>Yeray</t>
  </si>
  <si>
    <t>051</t>
  </si>
  <si>
    <t>Íñigo Martínez</t>
  </si>
  <si>
    <t>052</t>
  </si>
  <si>
    <t>Yuri (11A)</t>
  </si>
  <si>
    <t>053</t>
  </si>
  <si>
    <t>Balenziaga (11B)</t>
  </si>
  <si>
    <t>054</t>
  </si>
  <si>
    <t>Dani García</t>
  </si>
  <si>
    <t>055</t>
  </si>
  <si>
    <t>Vesga</t>
  </si>
  <si>
    <t>056</t>
  </si>
  <si>
    <t>057</t>
  </si>
  <si>
    <t>Sancet</t>
  </si>
  <si>
    <t>058</t>
  </si>
  <si>
    <t>Raúl García</t>
  </si>
  <si>
    <t>059</t>
  </si>
  <si>
    <t>Muniain</t>
  </si>
  <si>
    <t>060</t>
  </si>
  <si>
    <t>Berenguer</t>
  </si>
  <si>
    <t>061</t>
  </si>
  <si>
    <t>Villalibre (19A)</t>
  </si>
  <si>
    <t>062</t>
  </si>
  <si>
    <t>Morcillo (19B)</t>
  </si>
  <si>
    <t>063</t>
  </si>
  <si>
    <t>064</t>
  </si>
  <si>
    <t>Aguirrezabala (6BIS)</t>
  </si>
  <si>
    <t>065</t>
  </si>
  <si>
    <t>Lekue (7BIS)</t>
  </si>
  <si>
    <t>066</t>
  </si>
  <si>
    <t>Vivian (9BIS)</t>
  </si>
  <si>
    <t>071</t>
  </si>
  <si>
    <t>Escudo Atlético de Madrid</t>
  </si>
  <si>
    <t>072</t>
  </si>
  <si>
    <t>Entrenador - Diego Pablo Simeone</t>
  </si>
  <si>
    <t>073</t>
  </si>
  <si>
    <t>074</t>
  </si>
  <si>
    <t>Rookie Impact Camello</t>
  </si>
  <si>
    <t>075</t>
  </si>
  <si>
    <t>Oblak</t>
  </si>
  <si>
    <t>076</t>
  </si>
  <si>
    <t>Grbic</t>
  </si>
  <si>
    <t>077</t>
  </si>
  <si>
    <t>Trippier (7A)</t>
  </si>
  <si>
    <t>078</t>
  </si>
  <si>
    <t>Vrsaljko (7B)</t>
  </si>
  <si>
    <t>079</t>
  </si>
  <si>
    <t>Giménez</t>
  </si>
  <si>
    <t>080</t>
  </si>
  <si>
    <t>Felipe</t>
  </si>
  <si>
    <t>081</t>
  </si>
  <si>
    <t>Savic</t>
  </si>
  <si>
    <t>082</t>
  </si>
  <si>
    <t>Mario Hermoso (11A)</t>
  </si>
  <si>
    <t>083</t>
  </si>
  <si>
    <t>Lodi (11B)</t>
  </si>
  <si>
    <t>084</t>
  </si>
  <si>
    <t>Koke</t>
  </si>
  <si>
    <t>085</t>
  </si>
  <si>
    <t>Kondogbia (13A)</t>
  </si>
  <si>
    <t>086</t>
  </si>
  <si>
    <t>Herrera (13B)</t>
  </si>
  <si>
    <t>087</t>
  </si>
  <si>
    <t>Saúl</t>
  </si>
  <si>
    <t>088</t>
  </si>
  <si>
    <t>Lemar</t>
  </si>
  <si>
    <t>089</t>
  </si>
  <si>
    <t>Carrasco</t>
  </si>
  <si>
    <t>090</t>
  </si>
  <si>
    <t>Joao Félix</t>
  </si>
  <si>
    <t>091</t>
  </si>
  <si>
    <t>092</t>
  </si>
  <si>
    <t>Correa</t>
  </si>
  <si>
    <t>093</t>
  </si>
  <si>
    <t>094</t>
  </si>
  <si>
    <t>Lecomte (6BIS)</t>
  </si>
  <si>
    <t>095</t>
  </si>
  <si>
    <t>Matheus Cunha (14BIS)</t>
  </si>
  <si>
    <t>101</t>
  </si>
  <si>
    <t>Escudo FC Barcelona</t>
  </si>
  <si>
    <t>102</t>
  </si>
  <si>
    <t>Entrenador - Ronald Koeman</t>
  </si>
  <si>
    <t>103</t>
  </si>
  <si>
    <t>Messi</t>
  </si>
  <si>
    <t>104</t>
  </si>
  <si>
    <t>Rookie Impact Ilaix Moriba</t>
  </si>
  <si>
    <t>105</t>
  </si>
  <si>
    <t>Ter Stegen</t>
  </si>
  <si>
    <t>106</t>
  </si>
  <si>
    <t>Neto</t>
  </si>
  <si>
    <t>107</t>
  </si>
  <si>
    <t>Dest (7A)</t>
  </si>
  <si>
    <t>108</t>
  </si>
  <si>
    <t>Sergi Roberto (7B)</t>
  </si>
  <si>
    <t>109</t>
  </si>
  <si>
    <t>Piqué</t>
  </si>
  <si>
    <t>110</t>
  </si>
  <si>
    <t>Araújo</t>
  </si>
  <si>
    <t>111</t>
  </si>
  <si>
    <t>Mingueza</t>
  </si>
  <si>
    <t>112</t>
  </si>
  <si>
    <t>Lenglet</t>
  </si>
  <si>
    <t>113</t>
  </si>
  <si>
    <t>Jordi Alba</t>
  </si>
  <si>
    <t>114</t>
  </si>
  <si>
    <t>Sergio Busquets</t>
  </si>
  <si>
    <t>115</t>
  </si>
  <si>
    <t>116</t>
  </si>
  <si>
    <t>Ilaix Moriba (15A)</t>
  </si>
  <si>
    <t>117</t>
  </si>
  <si>
    <t>Riqui Puig (15B)</t>
  </si>
  <si>
    <t>118</t>
  </si>
  <si>
    <t>119</t>
  </si>
  <si>
    <t>120</t>
  </si>
  <si>
    <t>Ansu Fati</t>
  </si>
  <si>
    <t>121</t>
  </si>
  <si>
    <t>Griezmann</t>
  </si>
  <si>
    <t>122</t>
  </si>
  <si>
    <t>Dembélé (20A)</t>
  </si>
  <si>
    <t>123</t>
  </si>
  <si>
    <t>Braithwaite (20B)</t>
  </si>
  <si>
    <t>124</t>
  </si>
  <si>
    <t>Yusuf Demir (17BIS)</t>
  </si>
  <si>
    <t>125</t>
  </si>
  <si>
    <t>Coutinho (19BIS)</t>
  </si>
  <si>
    <t>131</t>
  </si>
  <si>
    <t>Escudo Real Betis</t>
  </si>
  <si>
    <t>132</t>
  </si>
  <si>
    <t>Entrenador - Manuel Pellegrini</t>
  </si>
  <si>
    <t>133</t>
  </si>
  <si>
    <t>134</t>
  </si>
  <si>
    <t>Rookie Impact Rodri</t>
  </si>
  <si>
    <t>135</t>
  </si>
  <si>
    <t>Bravo</t>
  </si>
  <si>
    <t>136</t>
  </si>
  <si>
    <t>Joel</t>
  </si>
  <si>
    <t>137</t>
  </si>
  <si>
    <t>Montoya</t>
  </si>
  <si>
    <t>138</t>
  </si>
  <si>
    <t>Sidnei</t>
  </si>
  <si>
    <t>139</t>
  </si>
  <si>
    <t>Víctor Ruiz</t>
  </si>
  <si>
    <t>140</t>
  </si>
  <si>
    <t>Bartra</t>
  </si>
  <si>
    <t>141</t>
  </si>
  <si>
    <t>Miranda (11A)</t>
  </si>
  <si>
    <t>142</t>
  </si>
  <si>
    <t>Álex Moreno (11B)</t>
  </si>
  <si>
    <t>143</t>
  </si>
  <si>
    <t>Guido Rodríguez</t>
  </si>
  <si>
    <t>144</t>
  </si>
  <si>
    <t>Aitor Ruibal (13A)</t>
  </si>
  <si>
    <t>145</t>
  </si>
  <si>
    <t>Guardado (13B)</t>
  </si>
  <si>
    <t>146</t>
  </si>
  <si>
    <t>147</t>
  </si>
  <si>
    <t>Fekir</t>
  </si>
  <si>
    <t>148</t>
  </si>
  <si>
    <t>Joaquín</t>
  </si>
  <si>
    <t>149</t>
  </si>
  <si>
    <t>Tello</t>
  </si>
  <si>
    <t>150</t>
  </si>
  <si>
    <t>Diego Lainez</t>
  </si>
  <si>
    <t>151</t>
  </si>
  <si>
    <t>Juanmi (19A)</t>
  </si>
  <si>
    <t>152</t>
  </si>
  <si>
    <t>Loren (19B)</t>
  </si>
  <si>
    <t>153</t>
  </si>
  <si>
    <t>Borja Iglesias</t>
  </si>
  <si>
    <t>154</t>
  </si>
  <si>
    <t>Rui Silva (6BIS)</t>
  </si>
  <si>
    <t>155</t>
  </si>
  <si>
    <t>Camarasa (12BIS)</t>
  </si>
  <si>
    <t>156</t>
  </si>
  <si>
    <t>Edgar (8BIS)</t>
  </si>
  <si>
    <t>157</t>
  </si>
  <si>
    <t>Rodri (15BIS)</t>
  </si>
  <si>
    <t>158</t>
  </si>
  <si>
    <t>William Carvalho (16BIS)</t>
  </si>
  <si>
    <t>161</t>
  </si>
  <si>
    <t>Escudo Cádiz CF</t>
  </si>
  <si>
    <t>162</t>
  </si>
  <si>
    <t>Entrenador - Álvaro Cervera</t>
  </si>
  <si>
    <t>163</t>
  </si>
  <si>
    <t>164</t>
  </si>
  <si>
    <t>Rookie Impact Bastida</t>
  </si>
  <si>
    <t>165</t>
  </si>
  <si>
    <t>166</t>
  </si>
  <si>
    <t>David Gil</t>
  </si>
  <si>
    <t>167</t>
  </si>
  <si>
    <t>Carcelén (7A)</t>
  </si>
  <si>
    <t>168</t>
  </si>
  <si>
    <t>Akapo (7B)</t>
  </si>
  <si>
    <t>169</t>
  </si>
  <si>
    <t>Marcos Mauro</t>
  </si>
  <si>
    <t>170</t>
  </si>
  <si>
    <t>Fali</t>
  </si>
  <si>
    <t>171</t>
  </si>
  <si>
    <t>Cala</t>
  </si>
  <si>
    <t>172</t>
  </si>
  <si>
    <t>Espino</t>
  </si>
  <si>
    <t>173</t>
  </si>
  <si>
    <t>José Mari</t>
  </si>
  <si>
    <t>174</t>
  </si>
  <si>
    <t>Jonsson</t>
  </si>
  <si>
    <t>175</t>
  </si>
  <si>
    <t>Álex Fernández</t>
  </si>
  <si>
    <t>176</t>
  </si>
  <si>
    <t>Garrido (15A)</t>
  </si>
  <si>
    <t>177</t>
  </si>
  <si>
    <t>Iván Alejo (15B)</t>
  </si>
  <si>
    <t>178</t>
  </si>
  <si>
    <t>Perea</t>
  </si>
  <si>
    <t>179</t>
  </si>
  <si>
    <t>Jairo</t>
  </si>
  <si>
    <t>180</t>
  </si>
  <si>
    <t>181</t>
  </si>
  <si>
    <t>Lozano</t>
  </si>
  <si>
    <t>182</t>
  </si>
  <si>
    <t>Negredo</t>
  </si>
  <si>
    <t>183</t>
  </si>
  <si>
    <t>Osmajic (17BIS)</t>
  </si>
  <si>
    <t>184</t>
  </si>
  <si>
    <t>Chust (8BIS)</t>
  </si>
  <si>
    <t>185</t>
  </si>
  <si>
    <t>Álvaro Jiménez (16BIS)</t>
  </si>
  <si>
    <t>186</t>
  </si>
  <si>
    <t>Sobrino (19BIS)</t>
  </si>
  <si>
    <t>191</t>
  </si>
  <si>
    <t>Escudo RC Celta</t>
  </si>
  <si>
    <t>192</t>
  </si>
  <si>
    <t>Entrenador - Eduardo Coudet</t>
  </si>
  <si>
    <t>193</t>
  </si>
  <si>
    <t>194</t>
  </si>
  <si>
    <t>Rookie Impact Fontán</t>
  </si>
  <si>
    <t>195</t>
  </si>
  <si>
    <t>Rubén</t>
  </si>
  <si>
    <t>196</t>
  </si>
  <si>
    <t>Iván Villar</t>
  </si>
  <si>
    <t>197</t>
  </si>
  <si>
    <t>Hugo Mallo</t>
  </si>
  <si>
    <t>198</t>
  </si>
  <si>
    <t>Aidoo (8A)</t>
  </si>
  <si>
    <t>199</t>
  </si>
  <si>
    <t>Fontán (8B)</t>
  </si>
  <si>
    <t>200</t>
  </si>
  <si>
    <t>Murillo</t>
  </si>
  <si>
    <t>201</t>
  </si>
  <si>
    <t>202</t>
  </si>
  <si>
    <t>Aarón (11A)</t>
  </si>
  <si>
    <t>203</t>
  </si>
  <si>
    <t>Kevin (11B)</t>
  </si>
  <si>
    <t>204</t>
  </si>
  <si>
    <t>Tapia</t>
  </si>
  <si>
    <t>205</t>
  </si>
  <si>
    <t>Solari</t>
  </si>
  <si>
    <t>206</t>
  </si>
  <si>
    <t>207</t>
  </si>
  <si>
    <t>Fran Beltrán</t>
  </si>
  <si>
    <t>208</t>
  </si>
  <si>
    <t>Denis Suárez</t>
  </si>
  <si>
    <t>209</t>
  </si>
  <si>
    <t>Baeza</t>
  </si>
  <si>
    <t>210</t>
  </si>
  <si>
    <t>Nolito</t>
  </si>
  <si>
    <t>211</t>
  </si>
  <si>
    <t>Santi Mina</t>
  </si>
  <si>
    <t>212</t>
  </si>
  <si>
    <t>213</t>
  </si>
  <si>
    <t>Dituro (6BIS)</t>
  </si>
  <si>
    <t>214</t>
  </si>
  <si>
    <t>Galán (9BIS)</t>
  </si>
  <si>
    <t>221</t>
  </si>
  <si>
    <t>Escudo Elche CF</t>
  </si>
  <si>
    <t>222</t>
  </si>
  <si>
    <t>Entrenador - Fran Escribá</t>
  </si>
  <si>
    <t>223</t>
  </si>
  <si>
    <t>Marcone</t>
  </si>
  <si>
    <t>224</t>
  </si>
  <si>
    <t>Rookie Impact Raúl Guti</t>
  </si>
  <si>
    <t>225</t>
  </si>
  <si>
    <t>226</t>
  </si>
  <si>
    <t>Casilla</t>
  </si>
  <si>
    <t>227</t>
  </si>
  <si>
    <t>Barragán</t>
  </si>
  <si>
    <t>228</t>
  </si>
  <si>
    <t>Dani Calvo</t>
  </si>
  <si>
    <t>229</t>
  </si>
  <si>
    <t>Diego González (9A)</t>
  </si>
  <si>
    <t>230</t>
  </si>
  <si>
    <t>Palacios (9B)</t>
  </si>
  <si>
    <t>231</t>
  </si>
  <si>
    <t>Josema</t>
  </si>
  <si>
    <t>232</t>
  </si>
  <si>
    <t>Gonzalo Verdú</t>
  </si>
  <si>
    <t>233</t>
  </si>
  <si>
    <t>Mójica</t>
  </si>
  <si>
    <t>234</t>
  </si>
  <si>
    <t>Josan (13A)</t>
  </si>
  <si>
    <t>235</t>
  </si>
  <si>
    <t>Mfulu (13B)</t>
  </si>
  <si>
    <t>236</t>
  </si>
  <si>
    <t>Fidel</t>
  </si>
  <si>
    <t>237</t>
  </si>
  <si>
    <t>238</t>
  </si>
  <si>
    <t>239</t>
  </si>
  <si>
    <t>Morente</t>
  </si>
  <si>
    <t>240</t>
  </si>
  <si>
    <t>Pere Milla</t>
  </si>
  <si>
    <t>241</t>
  </si>
  <si>
    <t>Boyé</t>
  </si>
  <si>
    <t>242</t>
  </si>
  <si>
    <t>Piatti (20A)</t>
  </si>
  <si>
    <t>243</t>
  </si>
  <si>
    <t>Carrillo (20B)</t>
  </si>
  <si>
    <t>244</t>
  </si>
  <si>
    <t>Bigas (8BIS)</t>
  </si>
  <si>
    <t>245</t>
  </si>
  <si>
    <t>Mascarell (14BIS)</t>
  </si>
  <si>
    <t>246</t>
  </si>
  <si>
    <t>Gumbau (15BIS)</t>
  </si>
  <si>
    <t>251</t>
  </si>
  <si>
    <t>Escudo RCD Espanyol</t>
  </si>
  <si>
    <t>252</t>
  </si>
  <si>
    <t>Entrenador - Vicente Moreno</t>
  </si>
  <si>
    <t>253</t>
  </si>
  <si>
    <t>254</t>
  </si>
  <si>
    <t>Rookie Impact Nico Melamed</t>
  </si>
  <si>
    <t>255</t>
  </si>
  <si>
    <t>Diego López</t>
  </si>
  <si>
    <t>256</t>
  </si>
  <si>
    <t>Oier</t>
  </si>
  <si>
    <t>257</t>
  </si>
  <si>
    <t>Miguelón</t>
  </si>
  <si>
    <t>258</t>
  </si>
  <si>
    <t>Óscar Gil</t>
  </si>
  <si>
    <t>259</t>
  </si>
  <si>
    <t>Cabrera</t>
  </si>
  <si>
    <t>260</t>
  </si>
  <si>
    <t>Calero</t>
  </si>
  <si>
    <t>261</t>
  </si>
  <si>
    <t>David López</t>
  </si>
  <si>
    <t>262</t>
  </si>
  <si>
    <t>Pedrosa (12A)</t>
  </si>
  <si>
    <t>263</t>
  </si>
  <si>
    <t>Dídac (12B)</t>
  </si>
  <si>
    <t>264</t>
  </si>
  <si>
    <t>Keidi Bare</t>
  </si>
  <si>
    <t>265</t>
  </si>
  <si>
    <t>Melendo (14A)</t>
  </si>
  <si>
    <t>266</t>
  </si>
  <si>
    <t>Fran Mérida (14B)</t>
  </si>
  <si>
    <t>267</t>
  </si>
  <si>
    <t>Darder</t>
  </si>
  <si>
    <t>268</t>
  </si>
  <si>
    <t>Embarba</t>
  </si>
  <si>
    <t>269</t>
  </si>
  <si>
    <t>Nico Melamed</t>
  </si>
  <si>
    <t>270</t>
  </si>
  <si>
    <t>271</t>
  </si>
  <si>
    <t>Dimata (19A)</t>
  </si>
  <si>
    <t>272</t>
  </si>
  <si>
    <t>Wu Lei (19B)</t>
  </si>
  <si>
    <t>273</t>
  </si>
  <si>
    <t>274</t>
  </si>
  <si>
    <t>Aleix Vidal (13BIS)</t>
  </si>
  <si>
    <t>281</t>
  </si>
  <si>
    <t>Escudo Getafe CF</t>
  </si>
  <si>
    <t>282</t>
  </si>
  <si>
    <t>Míchel</t>
  </si>
  <si>
    <t>283</t>
  </si>
  <si>
    <t>284</t>
  </si>
  <si>
    <t>Rookie Impact Iglesias</t>
  </si>
  <si>
    <t>285</t>
  </si>
  <si>
    <t>David Soria</t>
  </si>
  <si>
    <t>286</t>
  </si>
  <si>
    <t>Yáñez</t>
  </si>
  <si>
    <t>287</t>
  </si>
  <si>
    <t>Nyom (7A)</t>
  </si>
  <si>
    <t>288</t>
  </si>
  <si>
    <t>Iglesias (7B)</t>
  </si>
  <si>
    <t>289</t>
  </si>
  <si>
    <t>Damián Suárez</t>
  </si>
  <si>
    <t>290</t>
  </si>
  <si>
    <t>Chema</t>
  </si>
  <si>
    <t>291</t>
  </si>
  <si>
    <t>Djené</t>
  </si>
  <si>
    <t>292</t>
  </si>
  <si>
    <t>Cabaco</t>
  </si>
  <si>
    <t>293</t>
  </si>
  <si>
    <t>Olivera</t>
  </si>
  <si>
    <t>294</t>
  </si>
  <si>
    <t>Arambarri (13A)</t>
  </si>
  <si>
    <t>295</t>
  </si>
  <si>
    <t>Timor (13B)</t>
  </si>
  <si>
    <t>296</t>
  </si>
  <si>
    <t>297</t>
  </si>
  <si>
    <t>298</t>
  </si>
  <si>
    <t>Aleñá</t>
  </si>
  <si>
    <t>299</t>
  </si>
  <si>
    <t>Hugo Duro</t>
  </si>
  <si>
    <t>300</t>
  </si>
  <si>
    <t>Poveda</t>
  </si>
  <si>
    <t>301</t>
  </si>
  <si>
    <t>Mata</t>
  </si>
  <si>
    <t>302</t>
  </si>
  <si>
    <t>Ünal</t>
  </si>
  <si>
    <t>303</t>
  </si>
  <si>
    <t>Mitrovic (9BIS)</t>
  </si>
  <si>
    <t>304</t>
  </si>
  <si>
    <t>Jantko (14BIS)</t>
  </si>
  <si>
    <t>305</t>
  </si>
  <si>
    <t>Sandro (18BIS)</t>
  </si>
  <si>
    <t>306</t>
  </si>
  <si>
    <t>Cuenca (11BIS)</t>
  </si>
  <si>
    <t>307</t>
  </si>
  <si>
    <t>Jonathan Silva (12BIS)</t>
  </si>
  <si>
    <t>308</t>
  </si>
  <si>
    <t>Florentino Luis (17BIS)</t>
  </si>
  <si>
    <t>311</t>
  </si>
  <si>
    <t>Escudo Granada CF</t>
  </si>
  <si>
    <t>312</t>
  </si>
  <si>
    <t>Entrenador - Robert Moreno</t>
  </si>
  <si>
    <t>313</t>
  </si>
  <si>
    <t>Machís</t>
  </si>
  <si>
    <t>314</t>
  </si>
  <si>
    <t>Rookie Impact Soro</t>
  </si>
  <si>
    <t>315</t>
  </si>
  <si>
    <t>Luis Maximiano</t>
  </si>
  <si>
    <t>316</t>
  </si>
  <si>
    <t>Aarón</t>
  </si>
  <si>
    <t>317</t>
  </si>
  <si>
    <t>Foulquier</t>
  </si>
  <si>
    <t>318</t>
  </si>
  <si>
    <t>Víctor Díaz (8A)</t>
  </si>
  <si>
    <t>319</t>
  </si>
  <si>
    <t>Quni (8B)</t>
  </si>
  <si>
    <t>320</t>
  </si>
  <si>
    <t>Germán</t>
  </si>
  <si>
    <t>321</t>
  </si>
  <si>
    <t>Domingos Duarte</t>
  </si>
  <si>
    <t>322</t>
  </si>
  <si>
    <t>Neva</t>
  </si>
  <si>
    <t>323</t>
  </si>
  <si>
    <t>Monchu</t>
  </si>
  <si>
    <t>324</t>
  </si>
  <si>
    <t>Gonalons</t>
  </si>
  <si>
    <t>325</t>
  </si>
  <si>
    <t>Montoro</t>
  </si>
  <si>
    <t>326</t>
  </si>
  <si>
    <t>Soro (15A)</t>
  </si>
  <si>
    <t>327</t>
  </si>
  <si>
    <t>Yan Eteki (15B)</t>
  </si>
  <si>
    <t>328</t>
  </si>
  <si>
    <t>Milla</t>
  </si>
  <si>
    <t>329</t>
  </si>
  <si>
    <t>330</t>
  </si>
  <si>
    <t>Puertas</t>
  </si>
  <si>
    <t>331</t>
  </si>
  <si>
    <t>Jorge Molina</t>
  </si>
  <si>
    <t>332</t>
  </si>
  <si>
    <t>333</t>
  </si>
  <si>
    <t>Abram (10BIS)</t>
  </si>
  <si>
    <t>334</t>
  </si>
  <si>
    <t>Arias (7BIS)</t>
  </si>
  <si>
    <t>341</t>
  </si>
  <si>
    <t>Escudo Levante UD</t>
  </si>
  <si>
    <t>342</t>
  </si>
  <si>
    <t>Entrenador - Paco López</t>
  </si>
  <si>
    <t>343</t>
  </si>
  <si>
    <t>Roger</t>
  </si>
  <si>
    <t>344</t>
  </si>
  <si>
    <t>Rookie Impact Cárdenas</t>
  </si>
  <si>
    <t>345</t>
  </si>
  <si>
    <t>Aitor Fernández</t>
  </si>
  <si>
    <t>346</t>
  </si>
  <si>
    <t>347</t>
  </si>
  <si>
    <t>Miramón (7A)</t>
  </si>
  <si>
    <t>348</t>
  </si>
  <si>
    <t>Son (7B)</t>
  </si>
  <si>
    <t>349</t>
  </si>
  <si>
    <t>Óscar Duarte</t>
  </si>
  <si>
    <t>350</t>
  </si>
  <si>
    <t>Postigo</t>
  </si>
  <si>
    <t>351</t>
  </si>
  <si>
    <t>Rúben Vezo (10A)</t>
  </si>
  <si>
    <t>352</t>
  </si>
  <si>
    <t>Róber (10B)</t>
  </si>
  <si>
    <t>353</t>
  </si>
  <si>
    <t>Clerc</t>
  </si>
  <si>
    <t>354</t>
  </si>
  <si>
    <t>Radoja (12A)</t>
  </si>
  <si>
    <t>355</t>
  </si>
  <si>
    <t>Malsa (12B)</t>
  </si>
  <si>
    <t>356</t>
  </si>
  <si>
    <t>Melero</t>
  </si>
  <si>
    <t>357</t>
  </si>
  <si>
    <t>358</t>
  </si>
  <si>
    <t>Vukcevic</t>
  </si>
  <si>
    <t>359</t>
  </si>
  <si>
    <t>Bardhi</t>
  </si>
  <si>
    <t>360</t>
  </si>
  <si>
    <t>De Frutos</t>
  </si>
  <si>
    <t>361</t>
  </si>
  <si>
    <t>Morales</t>
  </si>
  <si>
    <t>362</t>
  </si>
  <si>
    <t>Dani Gómez</t>
  </si>
  <si>
    <t>363</t>
  </si>
  <si>
    <t>364</t>
  </si>
  <si>
    <t>Franquesa (11BIS)</t>
  </si>
  <si>
    <t>365</t>
  </si>
  <si>
    <t>Pablo Martínez (15BIS)</t>
  </si>
  <si>
    <t>371</t>
  </si>
  <si>
    <t>Escudo Real Madrid</t>
  </si>
  <si>
    <t>372</t>
  </si>
  <si>
    <t>Carlo Ancelotti</t>
  </si>
  <si>
    <t>373</t>
  </si>
  <si>
    <t>374</t>
  </si>
  <si>
    <t>Rookie Impact Blanco</t>
  </si>
  <si>
    <t>375</t>
  </si>
  <si>
    <t>Courtois</t>
  </si>
  <si>
    <t>376</t>
  </si>
  <si>
    <t>Lunin</t>
  </si>
  <si>
    <t>377</t>
  </si>
  <si>
    <t>Carvajal</t>
  </si>
  <si>
    <t>378</t>
  </si>
  <si>
    <t>Odriozola</t>
  </si>
  <si>
    <t>379</t>
  </si>
  <si>
    <t>Nacho</t>
  </si>
  <si>
    <t>380</t>
  </si>
  <si>
    <t>Varane</t>
  </si>
  <si>
    <t>381</t>
  </si>
  <si>
    <t>Militao</t>
  </si>
  <si>
    <t>382</t>
  </si>
  <si>
    <t>Mendy (12A)</t>
  </si>
  <si>
    <t>383</t>
  </si>
  <si>
    <t>Marcelo (12B)</t>
  </si>
  <si>
    <t>384</t>
  </si>
  <si>
    <t>Casemiro</t>
  </si>
  <si>
    <t>385</t>
  </si>
  <si>
    <t>Kroos</t>
  </si>
  <si>
    <t>386</t>
  </si>
  <si>
    <t>Modric</t>
  </si>
  <si>
    <t>387</t>
  </si>
  <si>
    <t>Fede Valverde (16A)</t>
  </si>
  <si>
    <t>388</t>
  </si>
  <si>
    <t>Lucas Vázquez (16B)</t>
  </si>
  <si>
    <t>389</t>
  </si>
  <si>
    <t>Marco Asensio (17A)</t>
  </si>
  <si>
    <t>390</t>
  </si>
  <si>
    <t>Isco (17B)</t>
  </si>
  <si>
    <t>391</t>
  </si>
  <si>
    <t>Hazard (18A)</t>
  </si>
  <si>
    <t>392</t>
  </si>
  <si>
    <t>Rodrygo (18B)</t>
  </si>
  <si>
    <t>393</t>
  </si>
  <si>
    <t>394</t>
  </si>
  <si>
    <t>395</t>
  </si>
  <si>
    <t>Miguel Gutiérrez (10BIS)</t>
  </si>
  <si>
    <t>396</t>
  </si>
  <si>
    <t>Bale (14BIS)</t>
  </si>
  <si>
    <t>397</t>
  </si>
  <si>
    <t>Blanco (8BIS)</t>
  </si>
  <si>
    <t>401</t>
  </si>
  <si>
    <t>Escudo RCD Mallorca</t>
  </si>
  <si>
    <t>402</t>
  </si>
  <si>
    <t>Entrenador - Luis García</t>
  </si>
  <si>
    <t>403</t>
  </si>
  <si>
    <t>Abdón</t>
  </si>
  <si>
    <t>404</t>
  </si>
  <si>
    <t>Rookie Impact Luka Romero</t>
  </si>
  <si>
    <t>405</t>
  </si>
  <si>
    <t>Reina</t>
  </si>
  <si>
    <t>406</t>
  </si>
  <si>
    <t>Greif</t>
  </si>
  <si>
    <t>407</t>
  </si>
  <si>
    <t>Sastre</t>
  </si>
  <si>
    <t>408</t>
  </si>
  <si>
    <t>Valjent</t>
  </si>
  <si>
    <t>409</t>
  </si>
  <si>
    <t>Raíllo</t>
  </si>
  <si>
    <t>410</t>
  </si>
  <si>
    <t>Russo (10A)</t>
  </si>
  <si>
    <t>411</t>
  </si>
  <si>
    <t>Sedlar (10B)</t>
  </si>
  <si>
    <t>412</t>
  </si>
  <si>
    <t>Oliván</t>
  </si>
  <si>
    <t>413</t>
  </si>
  <si>
    <t>Cufré</t>
  </si>
  <si>
    <t>414</t>
  </si>
  <si>
    <t>Ruiz de Galarreta</t>
  </si>
  <si>
    <t>415</t>
  </si>
  <si>
    <t>Baba (14A)</t>
  </si>
  <si>
    <t>416</t>
  </si>
  <si>
    <t>Febas (14B)</t>
  </si>
  <si>
    <t>417</t>
  </si>
  <si>
    <t>418</t>
  </si>
  <si>
    <t>Antonio Sánchez (16A)</t>
  </si>
  <si>
    <t>419</t>
  </si>
  <si>
    <t>Mollejo (16B)</t>
  </si>
  <si>
    <t>420</t>
  </si>
  <si>
    <t>Dani Rodríguez</t>
  </si>
  <si>
    <t>421</t>
  </si>
  <si>
    <t>Lago Junior</t>
  </si>
  <si>
    <t>422</t>
  </si>
  <si>
    <t>423</t>
  </si>
  <si>
    <t>Amath</t>
  </si>
  <si>
    <t>424</t>
  </si>
  <si>
    <t>Battaglia (12BIS)</t>
  </si>
  <si>
    <t>425</t>
  </si>
  <si>
    <t>Mboula (18BIS)</t>
  </si>
  <si>
    <t>431</t>
  </si>
  <si>
    <t>Escudo CA Osasuna</t>
  </si>
  <si>
    <t>432</t>
  </si>
  <si>
    <t>Entrenador - Jagoba Arrasate</t>
  </si>
  <si>
    <t>433</t>
  </si>
  <si>
    <t>434</t>
  </si>
  <si>
    <t>Rookie Impact Javi Martínez</t>
  </si>
  <si>
    <t>435</t>
  </si>
  <si>
    <t>Sergio Herrera</t>
  </si>
  <si>
    <t>436</t>
  </si>
  <si>
    <t>Juan Pérez</t>
  </si>
  <si>
    <t>437</t>
  </si>
  <si>
    <t>Nacho Vidal</t>
  </si>
  <si>
    <t>438</t>
  </si>
  <si>
    <t>Ramalho (8A)</t>
  </si>
  <si>
    <t>439</t>
  </si>
  <si>
    <t>Unai García (8B)</t>
  </si>
  <si>
    <t>440</t>
  </si>
  <si>
    <t>Aridane</t>
  </si>
  <si>
    <t>441</t>
  </si>
  <si>
    <t>David García</t>
  </si>
  <si>
    <t>442</t>
  </si>
  <si>
    <t>Juan Cruz</t>
  </si>
  <si>
    <t>443</t>
  </si>
  <si>
    <t>444</t>
  </si>
  <si>
    <t>Brasanac (13A)</t>
  </si>
  <si>
    <t>445</t>
  </si>
  <si>
    <t>Javi Martínez (13B)</t>
  </si>
  <si>
    <t>446</t>
  </si>
  <si>
    <t>Moncayola</t>
  </si>
  <si>
    <t>447</t>
  </si>
  <si>
    <t>Torró (15A)</t>
  </si>
  <si>
    <t>448</t>
  </si>
  <si>
    <t>Íñigo Pérez (15B)</t>
  </si>
  <si>
    <t>449</t>
  </si>
  <si>
    <t>Roberto Torres</t>
  </si>
  <si>
    <t>450</t>
  </si>
  <si>
    <t>451</t>
  </si>
  <si>
    <t>Jony (18A)</t>
  </si>
  <si>
    <t>452</t>
  </si>
  <si>
    <t>Kike barja (18B)</t>
  </si>
  <si>
    <t>453</t>
  </si>
  <si>
    <t>Chimy Ávila</t>
  </si>
  <si>
    <t>454</t>
  </si>
  <si>
    <t>Budimir</t>
  </si>
  <si>
    <t>455</t>
  </si>
  <si>
    <t>José Ángel (10BIS)</t>
  </si>
  <si>
    <t>456</t>
  </si>
  <si>
    <t>Manu Sánchez (11BIS)</t>
  </si>
  <si>
    <t>461</t>
  </si>
  <si>
    <t>Escudo Rayo Vallecano</t>
  </si>
  <si>
    <t>462</t>
  </si>
  <si>
    <t>Entrenador - Andoni Iraola</t>
  </si>
  <si>
    <t>463</t>
  </si>
  <si>
    <t>Isi</t>
  </si>
  <si>
    <t>464</t>
  </si>
  <si>
    <t>Rookie Impact Fran García</t>
  </si>
  <si>
    <t>465</t>
  </si>
  <si>
    <t>Dimitrievski</t>
  </si>
  <si>
    <t>466</t>
  </si>
  <si>
    <t>Luca Zidane</t>
  </si>
  <si>
    <t>467</t>
  </si>
  <si>
    <t>Advíncula</t>
  </si>
  <si>
    <t>468</t>
  </si>
  <si>
    <t>Mario Hernández (8A)</t>
  </si>
  <si>
    <t>469</t>
  </si>
  <si>
    <t>Velázquez (8B)</t>
  </si>
  <si>
    <t>470</t>
  </si>
  <si>
    <t>Catena</t>
  </si>
  <si>
    <t>471</t>
  </si>
  <si>
    <t>Saveljich</t>
  </si>
  <si>
    <t>472</t>
  </si>
  <si>
    <t>473</t>
  </si>
  <si>
    <t>Santi Comesaña</t>
  </si>
  <si>
    <t>474</t>
  </si>
  <si>
    <t>Mario Suárez (13A)</t>
  </si>
  <si>
    <t>475</t>
  </si>
  <si>
    <t>Pozo (13B)</t>
  </si>
  <si>
    <t>476</t>
  </si>
  <si>
    <t>Óscar Valentín</t>
  </si>
  <si>
    <t>477</t>
  </si>
  <si>
    <t>478</t>
  </si>
  <si>
    <t>479</t>
  </si>
  <si>
    <t>Bebé</t>
  </si>
  <si>
    <t>480</t>
  </si>
  <si>
    <t>Álvaro García</t>
  </si>
  <si>
    <t>481</t>
  </si>
  <si>
    <t>Qasmi</t>
  </si>
  <si>
    <t>482</t>
  </si>
  <si>
    <t>Andrés Martín</t>
  </si>
  <si>
    <t>483</t>
  </si>
  <si>
    <t>Balliu (7BIS)</t>
  </si>
  <si>
    <t>484</t>
  </si>
  <si>
    <t>Kevin Rodrigues (11BIS)</t>
  </si>
  <si>
    <t>485</t>
  </si>
  <si>
    <t>Unai López (16BIS)</t>
  </si>
  <si>
    <t>486</t>
  </si>
  <si>
    <t>Sergi Guardiola (20BIS)</t>
  </si>
  <si>
    <t>491</t>
  </si>
  <si>
    <t>Escudo Real Sociedad</t>
  </si>
  <si>
    <t>492</t>
  </si>
  <si>
    <t>Entrenador - Imanol Alguacil</t>
  </si>
  <si>
    <t>493</t>
  </si>
  <si>
    <t>Isak</t>
  </si>
  <si>
    <t>494</t>
  </si>
  <si>
    <t>Rookie Impact Karrikaburu</t>
  </si>
  <si>
    <t>495</t>
  </si>
  <si>
    <t>Remiro</t>
  </si>
  <si>
    <t>496</t>
  </si>
  <si>
    <t>Ryan</t>
  </si>
  <si>
    <t>497</t>
  </si>
  <si>
    <t>Gorosabel (7A)</t>
  </si>
  <si>
    <t>498</t>
  </si>
  <si>
    <t>Zaldúa (7B)</t>
  </si>
  <si>
    <t>499</t>
  </si>
  <si>
    <t>Le Normand</t>
  </si>
  <si>
    <t>500</t>
  </si>
  <si>
    <t>Aritz Elustondo</t>
  </si>
  <si>
    <t>501</t>
  </si>
  <si>
    <t>Zubeldia</t>
  </si>
  <si>
    <t>502</t>
  </si>
  <si>
    <t>Nacho Monreal</t>
  </si>
  <si>
    <t>503</t>
  </si>
  <si>
    <t>Zubimendi (12A)</t>
  </si>
  <si>
    <t>504</t>
  </si>
  <si>
    <t>Illarramendi (12B)</t>
  </si>
  <si>
    <t>505</t>
  </si>
  <si>
    <t>506</t>
  </si>
  <si>
    <t>Mikel Merino</t>
  </si>
  <si>
    <t>507</t>
  </si>
  <si>
    <t>Silva (15A)</t>
  </si>
  <si>
    <t>508</t>
  </si>
  <si>
    <t>Guridi (15B)</t>
  </si>
  <si>
    <t>509</t>
  </si>
  <si>
    <t>510</t>
  </si>
  <si>
    <t>Barrenetxea</t>
  </si>
  <si>
    <t>511</t>
  </si>
  <si>
    <t>Portu</t>
  </si>
  <si>
    <t>512</t>
  </si>
  <si>
    <t>Januzaj (19A)</t>
  </si>
  <si>
    <t>513</t>
  </si>
  <si>
    <t>Carlos Fernández (19B)</t>
  </si>
  <si>
    <t>514</t>
  </si>
  <si>
    <t>515</t>
  </si>
  <si>
    <t>Ahien Muñoz (11BIS)</t>
  </si>
  <si>
    <t>521</t>
  </si>
  <si>
    <t>Escudo Sevilla FC</t>
  </si>
  <si>
    <t>522</t>
  </si>
  <si>
    <t>Entrenador - Julen Lopetegui</t>
  </si>
  <si>
    <t>523</t>
  </si>
  <si>
    <t>Jordán</t>
  </si>
  <si>
    <t>524</t>
  </si>
  <si>
    <t>Rookie Impact Iván Romero</t>
  </si>
  <si>
    <t>525</t>
  </si>
  <si>
    <t>Bounou</t>
  </si>
  <si>
    <t>526</t>
  </si>
  <si>
    <t>Dmitrovic</t>
  </si>
  <si>
    <t>527</t>
  </si>
  <si>
    <t>Jesús Navas</t>
  </si>
  <si>
    <t>528</t>
  </si>
  <si>
    <t>Diego Carlos</t>
  </si>
  <si>
    <t>529</t>
  </si>
  <si>
    <t>530</t>
  </si>
  <si>
    <t>Sergi Gómez</t>
  </si>
  <si>
    <t>531</t>
  </si>
  <si>
    <t>Acuña</t>
  </si>
  <si>
    <t>532</t>
  </si>
  <si>
    <t>Gudelj</t>
  </si>
  <si>
    <t>533</t>
  </si>
  <si>
    <t>Fernando</t>
  </si>
  <si>
    <t>534</t>
  </si>
  <si>
    <t>535</t>
  </si>
  <si>
    <t>Rakitic</t>
  </si>
  <si>
    <t>536</t>
  </si>
  <si>
    <t>Óliver (16A)</t>
  </si>
  <si>
    <t>537</t>
  </si>
  <si>
    <t>Óscar Rodríguez (16B)</t>
  </si>
  <si>
    <t>538</t>
  </si>
  <si>
    <t>Papu Gómez</t>
  </si>
  <si>
    <t>539</t>
  </si>
  <si>
    <t>Ocampos</t>
  </si>
  <si>
    <t>540</t>
  </si>
  <si>
    <t>Suso (19A)</t>
  </si>
  <si>
    <t>541</t>
  </si>
  <si>
    <t>Munir (19B)</t>
  </si>
  <si>
    <t>542</t>
  </si>
  <si>
    <t>En-Nesyri (20A)</t>
  </si>
  <si>
    <t>543</t>
  </si>
  <si>
    <t>De Jong (20B)</t>
  </si>
  <si>
    <t>544</t>
  </si>
  <si>
    <t>Rekik (10BIS)</t>
  </si>
  <si>
    <t>551</t>
  </si>
  <si>
    <t>Escudo Valencia CF</t>
  </si>
  <si>
    <t>552</t>
  </si>
  <si>
    <t>Entrenador - José Bordalás</t>
  </si>
  <si>
    <t>553</t>
  </si>
  <si>
    <t>Gayà</t>
  </si>
  <si>
    <t>554</t>
  </si>
  <si>
    <t>Rookie Impact Musah</t>
  </si>
  <si>
    <t>555</t>
  </si>
  <si>
    <t>Cillessen</t>
  </si>
  <si>
    <t>556</t>
  </si>
  <si>
    <t>Jaume</t>
  </si>
  <si>
    <t>557</t>
  </si>
  <si>
    <t>Correia</t>
  </si>
  <si>
    <t>558</t>
  </si>
  <si>
    <t>Gabriel</t>
  </si>
  <si>
    <t>559</t>
  </si>
  <si>
    <t>Guillamón</t>
  </si>
  <si>
    <t>560</t>
  </si>
  <si>
    <t>Diakhaby</t>
  </si>
  <si>
    <t>561</t>
  </si>
  <si>
    <t>562</t>
  </si>
  <si>
    <t>Lato (12A)</t>
  </si>
  <si>
    <t>563</t>
  </si>
  <si>
    <t>Wass (12B)</t>
  </si>
  <si>
    <t>564</t>
  </si>
  <si>
    <t>Racic</t>
  </si>
  <si>
    <t>565</t>
  </si>
  <si>
    <t>Cheryshev</t>
  </si>
  <si>
    <t>566</t>
  </si>
  <si>
    <t>Carlos Soler</t>
  </si>
  <si>
    <t>567</t>
  </si>
  <si>
    <t>Kang-In Lee (16A)</t>
  </si>
  <si>
    <t>568</t>
  </si>
  <si>
    <t>Koba (16B)</t>
  </si>
  <si>
    <t>569</t>
  </si>
  <si>
    <t>Guedes</t>
  </si>
  <si>
    <t>570</t>
  </si>
  <si>
    <t>Musah</t>
  </si>
  <si>
    <t>571</t>
  </si>
  <si>
    <t>572</t>
  </si>
  <si>
    <t>Álex Blanco (20A)</t>
  </si>
  <si>
    <t>573</t>
  </si>
  <si>
    <t>Manu Vallejo (20B)</t>
  </si>
  <si>
    <t>574</t>
  </si>
  <si>
    <t>Hélder Costa (14BIS)</t>
  </si>
  <si>
    <t>575</t>
  </si>
  <si>
    <t>Hugo Duro (18BIS)</t>
  </si>
  <si>
    <t>581</t>
  </si>
  <si>
    <t>Escudo Villarreal CF</t>
  </si>
  <si>
    <t>582</t>
  </si>
  <si>
    <t>Entrenador - Unai Emery</t>
  </si>
  <si>
    <t>583</t>
  </si>
  <si>
    <t>584</t>
  </si>
  <si>
    <t>Rookie Impact Yeremi Pino</t>
  </si>
  <si>
    <t>585</t>
  </si>
  <si>
    <t>Sergio Asenjo</t>
  </si>
  <si>
    <t>586</t>
  </si>
  <si>
    <t>Rulli</t>
  </si>
  <si>
    <t>587</t>
  </si>
  <si>
    <t>Mario</t>
  </si>
  <si>
    <t>588</t>
  </si>
  <si>
    <t>Albiol</t>
  </si>
  <si>
    <t>589</t>
  </si>
  <si>
    <t>Pau Torres</t>
  </si>
  <si>
    <t>590</t>
  </si>
  <si>
    <t>Foyth</t>
  </si>
  <si>
    <t>591</t>
  </si>
  <si>
    <t>Pedraza (11A)</t>
  </si>
  <si>
    <t>592</t>
  </si>
  <si>
    <t>Estupiñán (11B)</t>
  </si>
  <si>
    <t>593</t>
  </si>
  <si>
    <t>Iborra</t>
  </si>
  <si>
    <t>594</t>
  </si>
  <si>
    <t>Capoue</t>
  </si>
  <si>
    <t>595</t>
  </si>
  <si>
    <t>Moi Gómez</t>
  </si>
  <si>
    <t>596</t>
  </si>
  <si>
    <t>Coquelin</t>
  </si>
  <si>
    <t>597</t>
  </si>
  <si>
    <t>Manu Trigueros</t>
  </si>
  <si>
    <t>598</t>
  </si>
  <si>
    <t>Parejo</t>
  </si>
  <si>
    <t>599</t>
  </si>
  <si>
    <t>Alcácer (18A)</t>
  </si>
  <si>
    <t>600</t>
  </si>
  <si>
    <t>Yeremi Pino (18B)</t>
  </si>
  <si>
    <t>601</t>
  </si>
  <si>
    <t>602</t>
  </si>
  <si>
    <t>Chukwueze (20A)</t>
  </si>
  <si>
    <t>603</t>
  </si>
  <si>
    <t>Fer Niño (20B)</t>
  </si>
  <si>
    <t>604</t>
  </si>
  <si>
    <t>Rubén Peña (7BIS)</t>
  </si>
  <si>
    <t>605</t>
  </si>
  <si>
    <t>Alberto Moreno (10BIS)</t>
  </si>
  <si>
    <t>611</t>
  </si>
  <si>
    <t>ARKONADA – Real Sociedad</t>
  </si>
  <si>
    <t>612</t>
  </si>
  <si>
    <t>BEBETO – Deportivo</t>
  </si>
  <si>
    <t>613</t>
  </si>
  <si>
    <t>BECKHAM – Real Madrid</t>
  </si>
  <si>
    <t>614</t>
  </si>
  <si>
    <t>BUTRAGUEÑO – Real Madrid</t>
  </si>
  <si>
    <t>615</t>
  </si>
  <si>
    <t>CASILLAS – Real Madrid</t>
  </si>
  <si>
    <t>616</t>
  </si>
  <si>
    <t>CRISTIANO RONALDO – Real Madrid</t>
  </si>
  <si>
    <t>617</t>
  </si>
  <si>
    <t>CRUYFF – Barcelona</t>
  </si>
  <si>
    <t>618</t>
  </si>
  <si>
    <t>DEL BOSQUE – Real Madrid</t>
  </si>
  <si>
    <t>619</t>
  </si>
  <si>
    <t>FERNANDO SANZ - Málaga</t>
  </si>
  <si>
    <t>620</t>
  </si>
  <si>
    <t>FERNANDO TORRES – Atlético</t>
  </si>
  <si>
    <t>621</t>
  </si>
  <si>
    <t>FUTRE – Atlético</t>
  </si>
  <si>
    <t>622</t>
  </si>
  <si>
    <t>GORDILLO – Betis</t>
  </si>
  <si>
    <t>623</t>
  </si>
  <si>
    <t>HUGO SÁNCHEZ – Real Madrid</t>
  </si>
  <si>
    <t>624</t>
  </si>
  <si>
    <t>INIESTA – Barcelona</t>
  </si>
  <si>
    <t>625</t>
  </si>
  <si>
    <t>IRIBAR - Athletic</t>
  </si>
  <si>
    <t>626</t>
  </si>
  <si>
    <t>KANOUTÉ - Sevilla</t>
  </si>
  <si>
    <t>627</t>
  </si>
  <si>
    <t>KEMPES – Valencia</t>
  </si>
  <si>
    <t>628</t>
  </si>
  <si>
    <t>KOEMAN – Barcelona</t>
  </si>
  <si>
    <t>629</t>
  </si>
  <si>
    <t>MARADONA – Barcelona</t>
  </si>
  <si>
    <t>630</t>
  </si>
  <si>
    <t>MARCOS SENNA – Villarreal</t>
  </si>
  <si>
    <t>631</t>
  </si>
  <si>
    <t>MOSTOVOI – Celta</t>
  </si>
  <si>
    <t>632</t>
  </si>
  <si>
    <t>PANTIC – Atlético</t>
  </si>
  <si>
    <t>633</t>
  </si>
  <si>
    <t>PUYOL – Barcelona</t>
  </si>
  <si>
    <t>634</t>
  </si>
  <si>
    <t>QUINI - Sporting</t>
  </si>
  <si>
    <t>635</t>
  </si>
  <si>
    <t>RAÚL – Real Madrid</t>
  </si>
  <si>
    <t>636</t>
  </si>
  <si>
    <t>RONALDINHO – Barcelona</t>
  </si>
  <si>
    <t>637</t>
  </si>
  <si>
    <t>SERGIO RAMOS – Real Madrid</t>
  </si>
  <si>
    <t>638</t>
  </si>
  <si>
    <t>STOICHKOV – Barcelona</t>
  </si>
  <si>
    <t>639</t>
  </si>
  <si>
    <t>TAMUDO – Espanyol</t>
  </si>
  <si>
    <t>640</t>
  </si>
  <si>
    <t>VILLA – Valencia</t>
  </si>
  <si>
    <t>641</t>
  </si>
  <si>
    <t>XAVI – Barcelona</t>
  </si>
  <si>
    <t>642</t>
  </si>
  <si>
    <t>ZIDANE – Real Madrid</t>
  </si>
  <si>
    <t>651</t>
  </si>
  <si>
    <t>AGÜERO – Barcelona</t>
  </si>
  <si>
    <t>652</t>
  </si>
  <si>
    <t>SABALY – Betis</t>
  </si>
  <si>
    <t>653</t>
  </si>
  <si>
    <t>KIKE GARCÍA – Osasuna</t>
  </si>
  <si>
    <t>654</t>
  </si>
  <si>
    <t>ERIC GARCÍA – Barcelona</t>
  </si>
  <si>
    <t>655</t>
  </si>
  <si>
    <t>HAROYAN – Cádiz</t>
  </si>
  <si>
    <t>656</t>
  </si>
  <si>
    <t>MANU GARCÍA – Alavés</t>
  </si>
  <si>
    <t>657</t>
  </si>
  <si>
    <t>MAFFEO – Mallorca</t>
  </si>
  <si>
    <t>658</t>
  </si>
  <si>
    <t>MANDI – Villarreal</t>
  </si>
  <si>
    <t>659</t>
  </si>
  <si>
    <t>SOLDADO – Levante</t>
  </si>
  <si>
    <t>660</t>
  </si>
  <si>
    <t>ALARCÓN – Cádiz</t>
  </si>
  <si>
    <t>661</t>
  </si>
  <si>
    <t>CERVI – Celta</t>
  </si>
  <si>
    <t>662</t>
  </si>
  <si>
    <t>JAUME COSTA – Mallorca</t>
  </si>
  <si>
    <t>663</t>
  </si>
  <si>
    <t>BOULAYE DIA – Villarreal</t>
  </si>
  <si>
    <t>664</t>
  </si>
  <si>
    <t>VITOLO – Getafe</t>
  </si>
  <si>
    <t>665</t>
  </si>
  <si>
    <t>BACCA – Granada</t>
  </si>
  <si>
    <t>666</t>
  </si>
  <si>
    <t>ALDERETE – Valencia</t>
  </si>
  <si>
    <t>667</t>
  </si>
  <si>
    <t>MARCOS PAULO – Atlético</t>
  </si>
  <si>
    <t>668</t>
  </si>
  <si>
    <t>ALABA – Real Madrid</t>
  </si>
  <si>
    <t>669</t>
  </si>
  <si>
    <t>MACÍAS – Getafe</t>
  </si>
  <si>
    <t>670</t>
  </si>
  <si>
    <t>ÁNGEL – Mallorca</t>
  </si>
  <si>
    <t>671</t>
  </si>
  <si>
    <t>ARZAMENDIA – Cádiz</t>
  </si>
  <si>
    <t>672</t>
  </si>
  <si>
    <t>DEPAY – Barcelona</t>
  </si>
  <si>
    <t>673</t>
  </si>
  <si>
    <t>PATHÉ CISS – Rayo</t>
  </si>
  <si>
    <t>674</t>
  </si>
  <si>
    <t>SERGI GÓMEZ – Espanyol</t>
  </si>
  <si>
    <t>675</t>
  </si>
  <si>
    <t>NTEKA – Rayo</t>
  </si>
  <si>
    <t>676</t>
  </si>
  <si>
    <t>NICO WILLIAMS – Athletic</t>
  </si>
  <si>
    <t>677</t>
  </si>
  <si>
    <t>LAMELA – Sevilla</t>
  </si>
  <si>
    <t>678</t>
  </si>
  <si>
    <t>DE PAUL – Atlético</t>
  </si>
  <si>
    <t>679</t>
  </si>
  <si>
    <t>LOUM - Alavés</t>
  </si>
  <si>
    <t>680</t>
  </si>
  <si>
    <t>KUBO - Mallorca</t>
  </si>
  <si>
    <t>681</t>
  </si>
  <si>
    <t>AUGUSTINSSON - Sevilla</t>
  </si>
  <si>
    <t>682</t>
  </si>
  <si>
    <t>EMERSON - Barcelona</t>
  </si>
  <si>
    <t>683</t>
  </si>
  <si>
    <t>ROCO - Elche</t>
  </si>
  <si>
    <t>684</t>
  </si>
  <si>
    <t>MORLANES - Espanyol</t>
  </si>
  <si>
    <t>685</t>
  </si>
  <si>
    <t>MAMARDASHVILI - Valencia</t>
  </si>
  <si>
    <t>686</t>
  </si>
  <si>
    <t>DIEGO RICO - Real Sociedad</t>
  </si>
  <si>
    <t>687</t>
  </si>
  <si>
    <t>ANDONE - Cádiz</t>
  </si>
  <si>
    <t>688</t>
  </si>
  <si>
    <t>FER NIÑO - Mallorca</t>
  </si>
  <si>
    <t>689</t>
  </si>
  <si>
    <t>ROCHINA - Granada</t>
  </si>
  <si>
    <t>690</t>
  </si>
  <si>
    <t>DANJUMA - Villarreal</t>
  </si>
  <si>
    <t>691</t>
  </si>
  <si>
    <t>RAFA MIR - Sevilla</t>
  </si>
  <si>
    <t>692</t>
  </si>
  <si>
    <t>BENEDETTO - Elche</t>
  </si>
  <si>
    <t>693</t>
  </si>
  <si>
    <t>PEZZELLA - Elche</t>
  </si>
  <si>
    <t>694</t>
  </si>
  <si>
    <t>MIAZGA - Alavés</t>
  </si>
  <si>
    <t>695</t>
  </si>
  <si>
    <t>MERQUELANZ - Rayo</t>
  </si>
  <si>
    <t>696</t>
  </si>
  <si>
    <t>MONTIEL - Sevilla</t>
  </si>
  <si>
    <t>697</t>
  </si>
  <si>
    <t>FOULQUIER - Valencia</t>
  </si>
  <si>
    <t>698</t>
  </si>
  <si>
    <t>MUSTAFI - Levante</t>
  </si>
  <si>
    <t>699</t>
  </si>
  <si>
    <t>THIAGO GALHARDO - Celta</t>
  </si>
  <si>
    <t>700</t>
  </si>
  <si>
    <t>LOREN - Espanyol</t>
  </si>
  <si>
    <t>701</t>
  </si>
  <si>
    <t>ONTIVEROS - Osasuna</t>
  </si>
  <si>
    <t>702</t>
  </si>
  <si>
    <t>PASTORE - Elche</t>
  </si>
  <si>
    <t>703</t>
  </si>
  <si>
    <t>WILLIAN JOSÉ - Betis</t>
  </si>
  <si>
    <t>704</t>
  </si>
  <si>
    <t>SORLOTH - Real Sociedad</t>
  </si>
  <si>
    <t>705</t>
  </si>
  <si>
    <t>DELANEY - Sevilla</t>
  </si>
  <si>
    <t>706</t>
  </si>
  <si>
    <t>LUCAS PÉREZ - Elche</t>
  </si>
  <si>
    <t>707</t>
  </si>
  <si>
    <t>BELLERÍN - Betis</t>
  </si>
  <si>
    <t>708</t>
  </si>
  <si>
    <t>KANG IN LEE - Mallorca</t>
  </si>
  <si>
    <t>709</t>
  </si>
  <si>
    <t>YANGEL HERRERA - Espanyol</t>
  </si>
  <si>
    <t>710</t>
  </si>
  <si>
    <t>FALCAO - Rayo</t>
  </si>
  <si>
    <t>711</t>
  </si>
  <si>
    <t>LUUK DE JONG - Barcelona</t>
  </si>
  <si>
    <t>712</t>
  </si>
  <si>
    <t>MARCOS ANDRÉ - Valencia</t>
  </si>
  <si>
    <t>713</t>
  </si>
  <si>
    <t>GRIEZMANN - Atlético</t>
  </si>
  <si>
    <t>714</t>
  </si>
  <si>
    <t>CAMAVINGA - Real Madrid</t>
  </si>
  <si>
    <t>715</t>
  </si>
  <si>
    <t>SYLLA - Alavés (17BIS)</t>
  </si>
  <si>
    <t>716</t>
  </si>
  <si>
    <t>ESCUDERO - Granada (32BIS)</t>
  </si>
  <si>
    <t>721</t>
  </si>
  <si>
    <t>Logo conmemorativo 50 aniversario</t>
  </si>
  <si>
    <t>722</t>
  </si>
  <si>
    <t>ZUBIZARRETA – Más partidos en LaLiga</t>
  </si>
  <si>
    <t>723</t>
  </si>
  <si>
    <t>MESSI – Más goles en LaLiga</t>
  </si>
  <si>
    <t>724</t>
  </si>
  <si>
    <t>Ranking 50 años (1)</t>
  </si>
  <si>
    <t>725</t>
  </si>
  <si>
    <t>Ranking 50 años (2)</t>
  </si>
  <si>
    <t>726</t>
  </si>
  <si>
    <t>Ranking 50 años (3)</t>
  </si>
  <si>
    <t>727</t>
  </si>
  <si>
    <t>GENTO – Más Ligas ganadas</t>
  </si>
  <si>
    <t>728</t>
  </si>
  <si>
    <t>JOAQUÍN – Jugador en activo con más partidos en LaLiga</t>
  </si>
  <si>
    <t>729</t>
  </si>
  <si>
    <t>MESSI – Más Balones de Oro en LaLiga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</si>
</sst>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4"/>
      <color rgb="FF000000"/>
      <name val="Arial"/>
    </font>
    <font>
      <b/>
      <sz val="16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555555"/>
      <name val="Arial"/>
    </font>
    <font>
      <b/>
      <sz val="9"/>
      <color rgb="FFE65100"/>
      <name val="Arial"/>
    </font>
    <font>
      <b/>
      <sz val="9"/>
      <color rgb="FFB71C1C"/>
      <name val="Arial"/>
    </font>
    <font>
      <b/>
      <sz val="9"/>
      <color rgb="FF1565C0"/>
      <name val="Arial"/>
    </font>
    <font>
      <b/>
      <sz val="10"/>
      <color rgb="FFFFFFFF"/>
      <name val="Arial"/>
    </font>
    <font>
      <b/>
      <sz val="11"/>
      <name val="Arial"/>
    </font>
  </fonts>
  <fills count="36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FFD700"/>
      </patternFill>
    </fill>
    <fill>
      <patternFill patternType="solid">
        <fgColor rgb="FF74B5E3"/>
      </patternFill>
    </fill>
    <fill>
      <patternFill patternType="solid">
        <fgColor rgb="FF006633"/>
      </patternFill>
    </fill>
    <fill>
      <patternFill patternType="solid">
        <fgColor rgb="FF003DA5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8B0000"/>
      </patternFill>
    </fill>
    <fill>
      <patternFill patternType="solid">
        <fgColor rgb="FF800080"/>
      </patternFill>
    </fill>
    <fill>
      <patternFill patternType="solid">
        <fgColor rgb="FF1A3A6C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C62828"/>
      </patternFill>
    </fill>
    <fill>
      <patternFill patternType="solid">
        <fgColor rgb="FFE3F2FD"/>
      </patternFill>
    </fill>
    <fill>
      <patternFill patternType="solid">
        <fgColor rgb="FFFFCCBC"/>
      </patternFill>
    </fill>
    <fill>
      <patternFill patternType="solid">
        <fgColor rgb="FFFCE4EC"/>
      </patternFill>
    </fill>
    <fill>
      <patternFill patternType="solid">
        <fgColor rgb="FFFFE0E0"/>
      </patternFill>
    </fill>
    <fill>
      <patternFill patternType="solid">
        <fgColor rgb="FFFFAAAA"/>
      </patternFill>
    </fill>
    <fill>
      <patternFill patternType="solid">
        <fgColor rgb="FFE8F5E9"/>
      </patternFill>
    </fill>
    <fill>
      <patternFill patternType="solid">
        <fgColor rgb="FF5D4037"/>
      </patternFill>
    </fill>
    <fill>
      <patternFill patternType="solid">
        <fgColor rgb="FFEFEBE9"/>
      </patternFill>
    </fill>
    <fill>
      <patternFill patternType="solid">
        <fgColor rgb="FFA5D6A7"/>
      </patternFill>
    </fill>
    <fill>
      <patternFill patternType="solid">
        <fgColor rgb="FFBCAAA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10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13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11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12" fillId="28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14" fillId="32" borderId="3" xfId="0" applyFont="1" applyFill="1" applyBorder="1" applyAlignment="1">
      <alignment horizontal="center" vertical="center"/>
    </xf>
    <xf numFmtId="0" fontId="7" fillId="33" borderId="3" xfId="0" applyFont="1" applyFill="1" applyBorder="1" applyAlignment="1">
      <alignment horizontal="center" vertical="center"/>
    </xf>
    <xf numFmtId="0" fontId="15" fillId="34" borderId="3" xfId="0" applyFont="1" applyFill="1" applyBorder="1" applyAlignment="1">
      <alignment horizontal="center"/>
    </xf>
    <xf numFmtId="0" fontId="15" fillId="35" borderId="3" xfId="0" applyFont="1" applyFill="1" applyBorder="1" applyAlignment="1">
      <alignment horizontal="center"/>
    </xf>
    <xf numFmtId="0" fontId="0" fillId="33" borderId="3" xfId="0" applyFill="1" applyBorder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0" fillId="0" borderId="0" xfId="0"/>
    <xf numFmtId="0" fontId="6" fillId="2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sqref="A1:D1"/>
    </sheetView>
  </sheetViews>
  <sheetFormatPr defaultRowHeight="14.4" x14ac:dyDescent="0.3"/>
  <cols>
    <col min="1" max="1" width="38.33203125" customWidth="1"/>
    <col min="2" max="2" width="14" customWidth="1"/>
    <col min="3" max="3" width="12" customWidth="1"/>
    <col min="4" max="4" width="10" customWidth="1"/>
    <col min="5" max="5" width="18" customWidth="1"/>
    <col min="6" max="6" width="10" customWidth="1"/>
  </cols>
  <sheetData>
    <row r="1" spans="1:6" ht="31.95" customHeight="1" x14ac:dyDescent="0.3">
      <c r="A1" s="34" t="s">
        <v>91</v>
      </c>
      <c r="B1" s="33"/>
      <c r="C1" s="33"/>
      <c r="D1" s="33"/>
    </row>
    <row r="2" spans="1:6" ht="18" customHeight="1" x14ac:dyDescent="0.3">
      <c r="A2" s="1" t="s">
        <v>1</v>
      </c>
      <c r="B2" s="1" t="s">
        <v>92</v>
      </c>
      <c r="C2" s="1" t="s">
        <v>93</v>
      </c>
      <c r="D2" s="1" t="s">
        <v>5</v>
      </c>
      <c r="E2" s="1" t="s">
        <v>94</v>
      </c>
      <c r="F2" s="27" t="s">
        <v>7</v>
      </c>
    </row>
    <row r="3" spans="1:6" ht="16.05" customHeight="1" x14ac:dyDescent="0.3">
      <c r="A3" s="2" t="s">
        <v>8</v>
      </c>
      <c r="B3" s="3">
        <v>27</v>
      </c>
      <c r="C3" s="4">
        <f>COUNTIF('D. ALAVÉS'!C3:C29,"")</f>
        <v>8</v>
      </c>
      <c r="D3" s="23">
        <f>COUNTIF('D. ALAVÉS'!D3:D29,"X")</f>
        <v>1</v>
      </c>
      <c r="E3" s="26">
        <f>SUMIF('D. ALAVÉS'!E3:E29,"&gt;"&amp;0,'D. ALAVÉS'!E3:E29)</f>
        <v>32</v>
      </c>
      <c r="F3" s="28">
        <f>SUM('D. ALAVÉS'!F3:F29)</f>
        <v>0</v>
      </c>
    </row>
    <row r="4" spans="1:6" ht="16.05" customHeight="1" x14ac:dyDescent="0.3">
      <c r="A4" s="5" t="s">
        <v>16</v>
      </c>
      <c r="B4" s="6">
        <v>26</v>
      </c>
      <c r="C4" s="4">
        <f>COUNTIF('ATHLETIC CLUB'!C3:C28,"")</f>
        <v>7</v>
      </c>
      <c r="D4" s="23">
        <f>COUNTIF('ATHLETIC CLUB'!D3:D28,"X")</f>
        <v>1</v>
      </c>
      <c r="E4" s="26">
        <f>SUMIF('ATHLETIC CLUB'!E3:E28,"&gt;"&amp;0,'ATHLETIC CLUB'!E3:E28)</f>
        <v>19</v>
      </c>
      <c r="F4" s="28">
        <f>SUM('ATHLETIC CLUB'!F3:F28)</f>
        <v>1</v>
      </c>
    </row>
    <row r="5" spans="1:6" ht="16.05" customHeight="1" x14ac:dyDescent="0.3">
      <c r="A5" s="2" t="s">
        <v>20</v>
      </c>
      <c r="B5" s="3">
        <v>25</v>
      </c>
      <c r="C5" s="4">
        <f>COUNTIF('ATLÉTICO DE MADRID'!C3:C27,"")</f>
        <v>8</v>
      </c>
      <c r="D5" s="23">
        <f>COUNTIF('ATLÉTICO DE MADRID'!D3:D27,"X")</f>
        <v>4</v>
      </c>
      <c r="E5" s="26">
        <f>SUMIF('ATLÉTICO DE MADRID'!E3:E27,"&gt;"&amp;0,'ATLÉTICO DE MADRID'!E3:E27)</f>
        <v>19</v>
      </c>
      <c r="F5" s="28">
        <f>SUM('ATLÉTICO DE MADRID'!F3:F27)</f>
        <v>1</v>
      </c>
    </row>
    <row r="6" spans="1:6" ht="16.05" customHeight="1" x14ac:dyDescent="0.3">
      <c r="A6" s="5" t="s">
        <v>24</v>
      </c>
      <c r="B6" s="6">
        <v>25</v>
      </c>
      <c r="C6" s="4">
        <f>COUNTIF('FC BARCELONA'!C3:C27,"")</f>
        <v>6</v>
      </c>
      <c r="D6" s="23">
        <f>COUNTIF('FC BARCELONA'!D3:D27,"X")</f>
        <v>2</v>
      </c>
      <c r="E6" s="26">
        <f>SUMIF('FC BARCELONA'!E3:E27,"&gt;"&amp;0,'FC BARCELONA'!E3:E27)</f>
        <v>20</v>
      </c>
      <c r="F6" s="28">
        <f>SUM('FC BARCELONA'!F3:F27)</f>
        <v>2</v>
      </c>
    </row>
    <row r="7" spans="1:6" ht="16.05" customHeight="1" x14ac:dyDescent="0.3">
      <c r="A7" s="2" t="s">
        <v>28</v>
      </c>
      <c r="B7" s="3">
        <v>28</v>
      </c>
      <c r="C7" s="4">
        <f>COUNTIF('REAL BETIS'!C3:C30,"")</f>
        <v>12</v>
      </c>
      <c r="D7" s="23">
        <f>COUNTIF('REAL BETIS'!D3:D30,"X")</f>
        <v>5</v>
      </c>
      <c r="E7" s="26">
        <f>SUMIF('REAL BETIS'!E3:E30,"&gt;"&amp;0,'REAL BETIS'!E3:E30)</f>
        <v>17</v>
      </c>
      <c r="F7" s="28">
        <f>SUM('REAL BETIS'!F3:F30)</f>
        <v>0</v>
      </c>
    </row>
    <row r="8" spans="1:6" ht="16.05" customHeight="1" x14ac:dyDescent="0.3">
      <c r="A8" s="5" t="s">
        <v>32</v>
      </c>
      <c r="B8" s="6">
        <v>26</v>
      </c>
      <c r="C8" s="4">
        <f>COUNTIF('CADIZ CF'!C3:C28,"")</f>
        <v>9</v>
      </c>
      <c r="D8" s="23">
        <f>COUNTIF('CADIZ CF'!D3:D28,"X")</f>
        <v>3</v>
      </c>
      <c r="E8" s="26">
        <f>SUMIF('CADIZ CF'!E3:E28,"&gt;"&amp;0,'CADIZ CF'!E3:E28)</f>
        <v>13</v>
      </c>
      <c r="F8" s="28">
        <f>SUM('CADIZ CF'!F3:F28)</f>
        <v>0</v>
      </c>
    </row>
    <row r="9" spans="1:6" ht="16.05" customHeight="1" x14ac:dyDescent="0.3">
      <c r="A9" s="2" t="s">
        <v>36</v>
      </c>
      <c r="B9" s="3">
        <v>24</v>
      </c>
      <c r="C9" s="4">
        <f>COUNTIF('RC CELTA'!C3:C26,"")</f>
        <v>5</v>
      </c>
      <c r="D9" s="23">
        <f>COUNTIF('RC CELTA'!D3:D26,"X")</f>
        <v>1</v>
      </c>
      <c r="E9" s="26">
        <f>SUMIF('RC CELTA'!E3:E26,"&gt;"&amp;0,'RC CELTA'!E3:E26)</f>
        <v>20</v>
      </c>
      <c r="F9" s="28">
        <f>SUM('RC CELTA'!F3:F26)</f>
        <v>0</v>
      </c>
    </row>
    <row r="10" spans="1:6" ht="16.05" customHeight="1" x14ac:dyDescent="0.3">
      <c r="A10" s="5" t="s">
        <v>40</v>
      </c>
      <c r="B10" s="6">
        <v>26</v>
      </c>
      <c r="C10" s="4">
        <f>COUNTIF('ELCHE CF'!C3:C28,"")</f>
        <v>8</v>
      </c>
      <c r="D10" s="23">
        <f>COUNTIF('ELCHE CF'!D3:D28,"X")</f>
        <v>3</v>
      </c>
      <c r="E10" s="26">
        <f>SUMIF('ELCHE CF'!E3:E28,"&gt;"&amp;0,'ELCHE CF'!E3:E28)</f>
        <v>16</v>
      </c>
      <c r="F10" s="28">
        <f>SUM('ELCHE CF'!F3:F28)</f>
        <v>1</v>
      </c>
    </row>
    <row r="11" spans="1:6" ht="16.05" customHeight="1" x14ac:dyDescent="0.3">
      <c r="A11" s="2" t="s">
        <v>44</v>
      </c>
      <c r="B11" s="3">
        <v>24</v>
      </c>
      <c r="C11" s="4">
        <f>COUNTIF('RCD ESPANYOL'!C3:C26,"")</f>
        <v>7</v>
      </c>
      <c r="D11" s="23">
        <f>COUNTIF('RCD ESPANYOL'!D3:D26,"X")</f>
        <v>4</v>
      </c>
      <c r="E11" s="26">
        <f>SUMIF('RCD ESPANYOL'!E3:E26,"&gt;"&amp;0,'RCD ESPANYOL'!E3:E26)</f>
        <v>19</v>
      </c>
      <c r="F11" s="28">
        <f>SUM('RCD ESPANYOL'!F3:F26)</f>
        <v>1</v>
      </c>
    </row>
    <row r="12" spans="1:6" ht="16.05" customHeight="1" x14ac:dyDescent="0.3">
      <c r="A12" s="5" t="s">
        <v>48</v>
      </c>
      <c r="B12" s="6">
        <v>28</v>
      </c>
      <c r="C12" s="4">
        <f>COUNTIF('GETAFE CF'!C3:C30,"")</f>
        <v>10</v>
      </c>
      <c r="D12" s="23">
        <f>COUNTIF('GETAFE CF'!D3:D30,"X")</f>
        <v>3</v>
      </c>
      <c r="E12" s="26">
        <f>SUMIF('GETAFE CF'!E3:E30,"&gt;"&amp;0,'GETAFE CF'!E3:E30)</f>
        <v>22</v>
      </c>
      <c r="F12" s="28">
        <f>SUM('GETAFE CF'!F3:F30)</f>
        <v>2</v>
      </c>
    </row>
    <row r="13" spans="1:6" ht="16.05" customHeight="1" x14ac:dyDescent="0.3">
      <c r="A13" s="2" t="s">
        <v>52</v>
      </c>
      <c r="B13" s="3">
        <v>24</v>
      </c>
      <c r="C13" s="4">
        <f>COUNTIF('GRANADA CF'!C3:C26,"")</f>
        <v>6</v>
      </c>
      <c r="D13" s="23">
        <f>COUNTIF('GRANADA CF'!D3:D26,"X")</f>
        <v>3</v>
      </c>
      <c r="E13" s="26">
        <f>SUMIF('GRANADA CF'!E3:E26,"&gt;"&amp;0,'GRANADA CF'!E3:E26)</f>
        <v>14</v>
      </c>
      <c r="F13" s="28">
        <f>SUM('GRANADA CF'!F3:F26)</f>
        <v>0</v>
      </c>
    </row>
    <row r="14" spans="1:6" ht="16.05" customHeight="1" x14ac:dyDescent="0.3">
      <c r="A14" s="5" t="s">
        <v>55</v>
      </c>
      <c r="B14" s="6">
        <v>25</v>
      </c>
      <c r="C14" s="4">
        <f>COUNTIF('LEVANTE UD'!C3:C27,"")</f>
        <v>6</v>
      </c>
      <c r="D14" s="23">
        <f>COUNTIF('LEVANTE UD'!D3:D27,"X")</f>
        <v>1</v>
      </c>
      <c r="E14" s="26">
        <f>SUMIF('LEVANTE UD'!E3:E27,"&gt;"&amp;0,'LEVANTE UD'!E3:E27)</f>
        <v>14</v>
      </c>
      <c r="F14" s="28">
        <f>SUM('LEVANTE UD'!F3:F27)</f>
        <v>1</v>
      </c>
    </row>
    <row r="15" spans="1:6" ht="16.05" customHeight="1" x14ac:dyDescent="0.3">
      <c r="A15" s="2" t="s">
        <v>59</v>
      </c>
      <c r="B15" s="3">
        <v>27</v>
      </c>
      <c r="C15" s="4">
        <f>COUNTIF('REAL MADRID'!C3:C29,"")</f>
        <v>9</v>
      </c>
      <c r="D15" s="23">
        <f>COUNTIF('REAL MADRID'!D3:D29,"X")</f>
        <v>3</v>
      </c>
      <c r="E15" s="26">
        <f>SUMIF('REAL MADRID'!E3:E29,"&gt;"&amp;0,'REAL MADRID'!E3:E29)</f>
        <v>16</v>
      </c>
      <c r="F15" s="28">
        <f>SUM('REAL MADRID'!F3:F29)</f>
        <v>4</v>
      </c>
    </row>
    <row r="16" spans="1:6" ht="16.05" customHeight="1" x14ac:dyDescent="0.3">
      <c r="A16" s="5" t="s">
        <v>63</v>
      </c>
      <c r="B16" s="6">
        <v>25</v>
      </c>
      <c r="C16" s="4">
        <f>COUNTIF('RCD MALLORCA'!C3:C27,"")</f>
        <v>5</v>
      </c>
      <c r="D16" s="23">
        <f>COUNTIF('RCD MALLORCA'!D3:D27,"X")</f>
        <v>0</v>
      </c>
      <c r="E16" s="26">
        <f>SUMIF('RCD MALLORCA'!E3:E27,"&gt;"&amp;0,'RCD MALLORCA'!E3:E27)</f>
        <v>5</v>
      </c>
      <c r="F16" s="28">
        <f>SUM('RCD MALLORCA'!F3:F27)</f>
        <v>1</v>
      </c>
    </row>
    <row r="17" spans="1:6" ht="16.05" customHeight="1" x14ac:dyDescent="0.3">
      <c r="A17" s="2" t="s">
        <v>67</v>
      </c>
      <c r="B17" s="3">
        <v>26</v>
      </c>
      <c r="C17" s="4">
        <f>COUNTIF('C.A. OSASUNA'!C3:C28,"")</f>
        <v>7</v>
      </c>
      <c r="D17" s="23">
        <f>COUNTIF('C.A. OSASUNA'!D3:D28,"X")</f>
        <v>1</v>
      </c>
      <c r="E17" s="26">
        <f>SUMIF('C.A. OSASUNA'!E3:E28,"&gt;"&amp;0,'C.A. OSASUNA'!E3:E28)</f>
        <v>15</v>
      </c>
      <c r="F17" s="28">
        <f>SUM('C.A. OSASUNA'!F3:F28)</f>
        <v>0</v>
      </c>
    </row>
    <row r="18" spans="1:6" ht="16.05" customHeight="1" x14ac:dyDescent="0.3">
      <c r="A18" s="5" t="s">
        <v>71</v>
      </c>
      <c r="B18" s="6">
        <v>26</v>
      </c>
      <c r="C18" s="4">
        <f>COUNTIF('RAYO VALLECANO'!C3:C28,"")</f>
        <v>7</v>
      </c>
      <c r="D18" s="23">
        <f>COUNTIF('RAYO VALLECANO'!D3:D28,"X")</f>
        <v>1</v>
      </c>
      <c r="E18" s="26">
        <f>SUMIF('RAYO VALLECANO'!E3:E28,"&gt;"&amp;0,'RAYO VALLECANO'!E3:E28)</f>
        <v>21</v>
      </c>
      <c r="F18" s="28">
        <f>SUM('RAYO VALLECANO'!F3:F28)</f>
        <v>1</v>
      </c>
    </row>
    <row r="19" spans="1:6" ht="16.05" customHeight="1" x14ac:dyDescent="0.3">
      <c r="A19" s="2" t="s">
        <v>75</v>
      </c>
      <c r="B19" s="3">
        <v>25</v>
      </c>
      <c r="C19" s="4">
        <f>COUNTIF('REAL SOCIEDAD'!C3:C27,"")</f>
        <v>8</v>
      </c>
      <c r="D19" s="23">
        <f>COUNTIF('REAL SOCIEDAD'!D3:D27,"X")</f>
        <v>4</v>
      </c>
      <c r="E19" s="26">
        <f>SUMIF('REAL SOCIEDAD'!E3:E27,"&gt;"&amp;0,'REAL SOCIEDAD'!E3:E27)</f>
        <v>12</v>
      </c>
      <c r="F19" s="28">
        <f>SUM('REAL SOCIEDAD'!F3:F27)</f>
        <v>0</v>
      </c>
    </row>
    <row r="20" spans="1:6" ht="16.05" customHeight="1" x14ac:dyDescent="0.3">
      <c r="A20" s="5" t="s">
        <v>79</v>
      </c>
      <c r="B20" s="6">
        <v>24</v>
      </c>
      <c r="C20" s="4">
        <f>COUNTIF('SEVILLA FC'!C3:C26,"")</f>
        <v>4</v>
      </c>
      <c r="D20" s="23">
        <f>COUNTIF('SEVILLA FC'!D3:D26,"X")</f>
        <v>0</v>
      </c>
      <c r="E20" s="26">
        <f>SUMIF('SEVILLA FC'!E3:E26,"&gt;"&amp;0,'SEVILLA FC'!E3:E26)</f>
        <v>23</v>
      </c>
      <c r="F20" s="28">
        <f>SUM('SEVILLA FC'!F3:F26)</f>
        <v>1</v>
      </c>
    </row>
    <row r="21" spans="1:6" ht="16.05" customHeight="1" x14ac:dyDescent="0.3">
      <c r="A21" s="2" t="s">
        <v>83</v>
      </c>
      <c r="B21" s="3">
        <v>25</v>
      </c>
      <c r="C21" s="4">
        <f>COUNTIF('VALENCIA CF'!C3:C27,"")</f>
        <v>8</v>
      </c>
      <c r="D21" s="23">
        <f>COUNTIF('VALENCIA CF'!D3:D27,"X")</f>
        <v>3</v>
      </c>
      <c r="E21" s="26">
        <f>SUMIF('VALENCIA CF'!E3:E27,"&gt;"&amp;0,'VALENCIA CF'!E3:E27)</f>
        <v>21</v>
      </c>
      <c r="F21" s="28">
        <f>SUM('VALENCIA CF'!F3:F27)</f>
        <v>7</v>
      </c>
    </row>
    <row r="22" spans="1:6" ht="16.05" customHeight="1" x14ac:dyDescent="0.3">
      <c r="A22" s="5" t="s">
        <v>87</v>
      </c>
      <c r="B22" s="6">
        <v>25</v>
      </c>
      <c r="C22" s="4">
        <f>COUNTIF('VILLARREAL CF'!C3:C27,"")</f>
        <v>8</v>
      </c>
      <c r="D22" s="23">
        <f>COUNTIF('VILLARREAL CF'!D3:D27,"X")</f>
        <v>3</v>
      </c>
      <c r="E22" s="26">
        <f>SUMIF('VILLARREAL CF'!E3:E27,"&gt;"&amp;0,'VILLARREAL CF'!E3:E27)</f>
        <v>6</v>
      </c>
      <c r="F22" s="28">
        <f>SUM('VILLARREAL CF'!F3:F27)</f>
        <v>0</v>
      </c>
    </row>
    <row r="23" spans="1:6" ht="16.05" customHeight="1" x14ac:dyDescent="0.3">
      <c r="A23" s="2" t="s">
        <v>95</v>
      </c>
      <c r="B23" s="3">
        <v>32</v>
      </c>
      <c r="C23" s="4">
        <f>COUNTIF('LEYENDAS LaLiga'!C3:C34,"")</f>
        <v>4</v>
      </c>
      <c r="D23" s="23">
        <f>COUNTIF('LEYENDAS LaLiga'!D3:D34,"X")</f>
        <v>4</v>
      </c>
      <c r="E23" s="26">
        <f>SUMIF('LEYENDAS LaLiga'!E3:E34,"&gt;"&amp;0,'LEYENDAS LaLiga'!E3:E34)</f>
        <v>35</v>
      </c>
      <c r="F23" s="28">
        <f>SUM('LEYENDAS LaLiga'!F3:F34)</f>
        <v>5</v>
      </c>
    </row>
    <row r="24" spans="1:6" ht="16.05" customHeight="1" x14ac:dyDescent="0.3">
      <c r="A24" s="5" t="s">
        <v>96</v>
      </c>
      <c r="B24" s="6">
        <v>66</v>
      </c>
      <c r="C24" s="4">
        <f>COUNTIF('FICHAJES DE INVIERNO'!C3:C68,"")</f>
        <v>19</v>
      </c>
      <c r="D24" s="23">
        <f>COUNTIF('FICHAJES DE INVIERNO'!D3:D68,"X")</f>
        <v>17</v>
      </c>
      <c r="E24" s="26">
        <f>SUMIF('FICHAJES DE INVIERNO'!E3:E68,"&gt;"&amp;0,'FICHAJES DE INVIERNO'!E3:E68)</f>
        <v>18</v>
      </c>
      <c r="F24" s="28">
        <f>SUM('FICHAJES DE INVIERNO'!F3:F68)</f>
        <v>1</v>
      </c>
    </row>
    <row r="25" spans="1:6" ht="16.05" customHeight="1" x14ac:dyDescent="0.3">
      <c r="A25" s="2" t="s">
        <v>97</v>
      </c>
      <c r="B25" s="3">
        <v>9</v>
      </c>
      <c r="C25" s="4">
        <f>COUNTIF('50 ANIVERSARIO'!C3:C11,"")</f>
        <v>2</v>
      </c>
      <c r="D25" s="23">
        <f>COUNTIF('50 ANIVERSARIO'!D3:D11,"X")</f>
        <v>2</v>
      </c>
      <c r="E25" s="26">
        <f>SUMIF('50 ANIVERSARIO'!E3:E11,"&gt;"&amp;0,'50 ANIVERSARIO'!E3:E11)</f>
        <v>13</v>
      </c>
      <c r="F25" s="28">
        <f>SUM('50 ANIVERSARIO'!F3:F11)</f>
        <v>4</v>
      </c>
    </row>
    <row r="26" spans="1:6" ht="16.05" customHeight="1" x14ac:dyDescent="0.3">
      <c r="A26" s="5" t="s">
        <v>98</v>
      </c>
      <c r="B26" s="6">
        <v>60</v>
      </c>
      <c r="C26" s="4">
        <f>COUNTIF('CHICLE LIGA'!D3:D62,"")</f>
        <v>30</v>
      </c>
      <c r="D26" s="23">
        <f>COUNTIF('CHICLE LIGA'!E3:E62,"X")</f>
        <v>30</v>
      </c>
      <c r="E26" s="26">
        <f>SUMIF('CHICLE LIGA'!F3:F62,"&gt;"&amp;0,'CHICLE LIGA'!F3:F62)</f>
        <v>0</v>
      </c>
      <c r="F26" s="28">
        <f>SUM('CHICLE LIGA'!G3:G62)</f>
        <v>0</v>
      </c>
    </row>
    <row r="27" spans="1:6" x14ac:dyDescent="0.3">
      <c r="A27" s="7" t="s">
        <v>99</v>
      </c>
      <c r="B27" s="8">
        <f>SUM(B3:B26)</f>
        <v>678</v>
      </c>
      <c r="C27" s="9">
        <f>SUM(C3:C26)</f>
        <v>203</v>
      </c>
      <c r="D27" s="24">
        <f>SUM(D3:D26)</f>
        <v>99</v>
      </c>
      <c r="E27" s="29">
        <f>SUM(E3:E26)</f>
        <v>410</v>
      </c>
      <c r="F27" s="30">
        <f>SUM(F3:F26)</f>
        <v>33</v>
      </c>
    </row>
    <row r="28" spans="1:6" x14ac:dyDescent="0.3">
      <c r="A28" s="33"/>
      <c r="B28" s="33"/>
      <c r="C28" s="33"/>
      <c r="D28" s="33"/>
    </row>
    <row r="29" spans="1:6" x14ac:dyDescent="0.3">
      <c r="A29" s="10" t="s">
        <v>100</v>
      </c>
    </row>
  </sheetData>
  <mergeCells count="2">
    <mergeCell ref="A1:D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workbookViewId="0">
      <pane ySplit="2" topLeftCell="A3" activePane="bottomLeft" state="frozen"/>
      <selection pane="bottomLeft" activeCell="L17" sqref="L17"/>
    </sheetView>
  </sheetViews>
  <sheetFormatPr defaultRowHeight="14.4" x14ac:dyDescent="0.3"/>
  <cols>
    <col min="1" max="1" width="24" customWidth="1"/>
    <col min="2" max="2" width="10" customWidth="1"/>
    <col min="3" max="3" width="24.44140625" bestFit="1" customWidth="1"/>
    <col min="4" max="5" width="10" customWidth="1"/>
    <col min="6" max="6" width="12" customWidth="1"/>
    <col min="7" max="7" width="10" customWidth="1"/>
  </cols>
  <sheetData>
    <row r="1" spans="1:7" ht="30" customHeight="1" x14ac:dyDescent="0.3">
      <c r="A1" s="32" t="s">
        <v>0</v>
      </c>
      <c r="B1" s="33"/>
      <c r="C1" s="33"/>
      <c r="D1" s="33"/>
      <c r="E1" s="33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7" t="s">
        <v>7</v>
      </c>
    </row>
    <row r="3" spans="1:7" ht="16.05" customHeight="1" x14ac:dyDescent="0.3">
      <c r="A3" s="17" t="s">
        <v>8</v>
      </c>
      <c r="B3" s="18" t="s">
        <v>9</v>
      </c>
      <c r="C3" s="17" t="s">
        <v>10</v>
      </c>
      <c r="D3" s="13"/>
      <c r="E3" s="25" t="s">
        <v>11</v>
      </c>
      <c r="F3" s="14">
        <v>0</v>
      </c>
      <c r="G3" s="31"/>
    </row>
    <row r="4" spans="1:7" ht="16.05" customHeight="1" x14ac:dyDescent="0.3">
      <c r="A4" s="19" t="s">
        <v>8</v>
      </c>
      <c r="B4" s="20" t="s">
        <v>12</v>
      </c>
      <c r="C4" s="19" t="s">
        <v>13</v>
      </c>
      <c r="D4" s="13" t="s">
        <v>11</v>
      </c>
      <c r="E4" s="25"/>
      <c r="F4" s="14">
        <v>0</v>
      </c>
      <c r="G4" s="31"/>
    </row>
    <row r="5" spans="1:7" ht="16.05" customHeight="1" x14ac:dyDescent="0.3">
      <c r="A5" s="21" t="s">
        <v>8</v>
      </c>
      <c r="B5" s="22" t="s">
        <v>14</v>
      </c>
      <c r="C5" s="21" t="s">
        <v>15</v>
      </c>
      <c r="D5" s="13" t="s">
        <v>11</v>
      </c>
      <c r="E5" s="25"/>
      <c r="F5" s="14">
        <v>0</v>
      </c>
      <c r="G5" s="31"/>
    </row>
    <row r="6" spans="1:7" ht="16.05" customHeight="1" x14ac:dyDescent="0.3">
      <c r="A6" s="17" t="s">
        <v>16</v>
      </c>
      <c r="B6" s="18" t="s">
        <v>9</v>
      </c>
      <c r="C6" s="17" t="s">
        <v>17</v>
      </c>
      <c r="D6" s="13"/>
      <c r="E6" s="25" t="s">
        <v>11</v>
      </c>
      <c r="F6" s="14">
        <v>0</v>
      </c>
      <c r="G6" s="31"/>
    </row>
    <row r="7" spans="1:7" ht="16.05" customHeight="1" x14ac:dyDescent="0.3">
      <c r="A7" s="19" t="s">
        <v>16</v>
      </c>
      <c r="B7" s="20" t="s">
        <v>12</v>
      </c>
      <c r="C7" s="19" t="s">
        <v>18</v>
      </c>
      <c r="D7" s="13"/>
      <c r="E7" s="25" t="s">
        <v>11</v>
      </c>
      <c r="F7" s="14">
        <v>0</v>
      </c>
      <c r="G7" s="31"/>
    </row>
    <row r="8" spans="1:7" ht="16.05" customHeight="1" x14ac:dyDescent="0.3">
      <c r="A8" s="21" t="s">
        <v>16</v>
      </c>
      <c r="B8" s="22" t="s">
        <v>14</v>
      </c>
      <c r="C8" s="21" t="s">
        <v>19</v>
      </c>
      <c r="D8" s="13"/>
      <c r="E8" s="25" t="s">
        <v>11</v>
      </c>
      <c r="F8" s="14">
        <v>0</v>
      </c>
      <c r="G8" s="31"/>
    </row>
    <row r="9" spans="1:7" ht="16.05" customHeight="1" x14ac:dyDescent="0.3">
      <c r="A9" s="17" t="s">
        <v>20</v>
      </c>
      <c r="B9" s="18" t="s">
        <v>9</v>
      </c>
      <c r="C9" s="17" t="s">
        <v>21</v>
      </c>
      <c r="D9" s="13"/>
      <c r="E9" s="25" t="s">
        <v>11</v>
      </c>
      <c r="F9" s="14">
        <v>0</v>
      </c>
      <c r="G9" s="31"/>
    </row>
    <row r="10" spans="1:7" ht="16.05" customHeight="1" x14ac:dyDescent="0.3">
      <c r="A10" s="19" t="s">
        <v>20</v>
      </c>
      <c r="B10" s="20" t="s">
        <v>12</v>
      </c>
      <c r="C10" s="19" t="s">
        <v>22</v>
      </c>
      <c r="D10" s="13" t="s">
        <v>11</v>
      </c>
      <c r="E10" s="25"/>
      <c r="F10" s="14">
        <v>0</v>
      </c>
      <c r="G10" s="31"/>
    </row>
    <row r="11" spans="1:7" ht="16.05" customHeight="1" x14ac:dyDescent="0.3">
      <c r="A11" s="21" t="s">
        <v>20</v>
      </c>
      <c r="B11" s="22" t="s">
        <v>14</v>
      </c>
      <c r="C11" s="21" t="s">
        <v>23</v>
      </c>
      <c r="D11" s="13" t="s">
        <v>11</v>
      </c>
      <c r="E11" s="25"/>
      <c r="F11" s="14">
        <v>0</v>
      </c>
      <c r="G11" s="31"/>
    </row>
    <row r="12" spans="1:7" ht="16.05" customHeight="1" x14ac:dyDescent="0.3">
      <c r="A12" s="17" t="s">
        <v>24</v>
      </c>
      <c r="B12" s="18" t="s">
        <v>9</v>
      </c>
      <c r="C12" s="17" t="s">
        <v>25</v>
      </c>
      <c r="D12" s="13" t="s">
        <v>11</v>
      </c>
      <c r="E12" s="25"/>
      <c r="F12" s="14">
        <v>0</v>
      </c>
      <c r="G12" s="31"/>
    </row>
    <row r="13" spans="1:7" ht="16.05" customHeight="1" x14ac:dyDescent="0.3">
      <c r="A13" s="19" t="s">
        <v>24</v>
      </c>
      <c r="B13" s="20" t="s">
        <v>12</v>
      </c>
      <c r="C13" s="19" t="s">
        <v>26</v>
      </c>
      <c r="D13" s="13" t="s">
        <v>11</v>
      </c>
      <c r="E13" s="25"/>
      <c r="F13" s="14">
        <v>0</v>
      </c>
      <c r="G13" s="31"/>
    </row>
    <row r="14" spans="1:7" ht="16.05" customHeight="1" x14ac:dyDescent="0.3">
      <c r="A14" s="21" t="s">
        <v>24</v>
      </c>
      <c r="B14" s="22" t="s">
        <v>14</v>
      </c>
      <c r="C14" s="21" t="s">
        <v>27</v>
      </c>
      <c r="D14" s="13"/>
      <c r="E14" s="25" t="s">
        <v>11</v>
      </c>
      <c r="F14" s="14">
        <v>0</v>
      </c>
      <c r="G14" s="31"/>
    </row>
    <row r="15" spans="1:7" ht="16.05" customHeight="1" x14ac:dyDescent="0.3">
      <c r="A15" s="17" t="s">
        <v>28</v>
      </c>
      <c r="B15" s="18" t="s">
        <v>9</v>
      </c>
      <c r="C15" s="17" t="s">
        <v>29</v>
      </c>
      <c r="D15" s="13" t="s">
        <v>11</v>
      </c>
      <c r="E15" s="25"/>
      <c r="F15" s="14">
        <v>0</v>
      </c>
      <c r="G15" s="31"/>
    </row>
    <row r="16" spans="1:7" ht="16.05" customHeight="1" x14ac:dyDescent="0.3">
      <c r="A16" s="19" t="s">
        <v>28</v>
      </c>
      <c r="B16" s="20" t="s">
        <v>12</v>
      </c>
      <c r="C16" s="19" t="s">
        <v>30</v>
      </c>
      <c r="D16" s="13"/>
      <c r="E16" s="25" t="s">
        <v>11</v>
      </c>
      <c r="F16" s="14">
        <v>0</v>
      </c>
      <c r="G16" s="31"/>
    </row>
    <row r="17" spans="1:7" ht="16.05" customHeight="1" x14ac:dyDescent="0.3">
      <c r="A17" s="21" t="s">
        <v>28</v>
      </c>
      <c r="B17" s="22" t="s">
        <v>14</v>
      </c>
      <c r="C17" s="21" t="s">
        <v>31</v>
      </c>
      <c r="D17" s="13" t="s">
        <v>11</v>
      </c>
      <c r="E17" s="25"/>
      <c r="F17" s="14">
        <v>0</v>
      </c>
      <c r="G17" s="31"/>
    </row>
    <row r="18" spans="1:7" ht="16.05" customHeight="1" x14ac:dyDescent="0.3">
      <c r="A18" s="17" t="s">
        <v>32</v>
      </c>
      <c r="B18" s="18" t="s">
        <v>9</v>
      </c>
      <c r="C18" s="17" t="s">
        <v>33</v>
      </c>
      <c r="D18" s="13" t="s">
        <v>11</v>
      </c>
      <c r="E18" s="25"/>
      <c r="F18" s="14">
        <v>0</v>
      </c>
      <c r="G18" s="31"/>
    </row>
    <row r="19" spans="1:7" ht="16.05" customHeight="1" x14ac:dyDescent="0.3">
      <c r="A19" s="19" t="s">
        <v>32</v>
      </c>
      <c r="B19" s="20" t="s">
        <v>12</v>
      </c>
      <c r="C19" s="19" t="s">
        <v>34</v>
      </c>
      <c r="D19" s="13"/>
      <c r="E19" s="25" t="s">
        <v>11</v>
      </c>
      <c r="F19" s="14">
        <v>0</v>
      </c>
      <c r="G19" s="31"/>
    </row>
    <row r="20" spans="1:7" ht="16.05" customHeight="1" x14ac:dyDescent="0.3">
      <c r="A20" s="21" t="s">
        <v>32</v>
      </c>
      <c r="B20" s="22" t="s">
        <v>14</v>
      </c>
      <c r="C20" s="21" t="s">
        <v>35</v>
      </c>
      <c r="D20" s="13" t="s">
        <v>11</v>
      </c>
      <c r="E20" s="25"/>
      <c r="F20" s="14">
        <v>0</v>
      </c>
      <c r="G20" s="31"/>
    </row>
    <row r="21" spans="1:7" ht="16.05" customHeight="1" x14ac:dyDescent="0.3">
      <c r="A21" s="17" t="s">
        <v>36</v>
      </c>
      <c r="B21" s="18" t="s">
        <v>9</v>
      </c>
      <c r="C21" s="17" t="s">
        <v>37</v>
      </c>
      <c r="D21" s="13" t="s">
        <v>11</v>
      </c>
      <c r="E21" s="25"/>
      <c r="F21" s="14">
        <v>0</v>
      </c>
      <c r="G21" s="31"/>
    </row>
    <row r="22" spans="1:7" ht="16.05" customHeight="1" x14ac:dyDescent="0.3">
      <c r="A22" s="19" t="s">
        <v>36</v>
      </c>
      <c r="B22" s="20" t="s">
        <v>12</v>
      </c>
      <c r="C22" s="19" t="s">
        <v>38</v>
      </c>
      <c r="D22" s="13"/>
      <c r="E22" s="25" t="s">
        <v>11</v>
      </c>
      <c r="F22" s="14">
        <v>0</v>
      </c>
      <c r="G22" s="31"/>
    </row>
    <row r="23" spans="1:7" ht="16.05" customHeight="1" x14ac:dyDescent="0.3">
      <c r="A23" s="21" t="s">
        <v>36</v>
      </c>
      <c r="B23" s="22" t="s">
        <v>14</v>
      </c>
      <c r="C23" s="21" t="s">
        <v>39</v>
      </c>
      <c r="D23" s="13" t="s">
        <v>11</v>
      </c>
      <c r="E23" s="25"/>
      <c r="F23" s="14">
        <v>0</v>
      </c>
      <c r="G23" s="31"/>
    </row>
    <row r="24" spans="1:7" ht="16.05" customHeight="1" x14ac:dyDescent="0.3">
      <c r="A24" s="17" t="s">
        <v>40</v>
      </c>
      <c r="B24" s="18" t="s">
        <v>9</v>
      </c>
      <c r="C24" s="17" t="s">
        <v>41</v>
      </c>
      <c r="D24" s="13" t="s">
        <v>11</v>
      </c>
      <c r="E24" s="25"/>
      <c r="F24" s="14">
        <v>0</v>
      </c>
      <c r="G24" s="31"/>
    </row>
    <row r="25" spans="1:7" ht="16.05" customHeight="1" x14ac:dyDescent="0.3">
      <c r="A25" s="19" t="s">
        <v>40</v>
      </c>
      <c r="B25" s="20" t="s">
        <v>12</v>
      </c>
      <c r="C25" s="19" t="s">
        <v>42</v>
      </c>
      <c r="D25" s="13" t="s">
        <v>11</v>
      </c>
      <c r="E25" s="25"/>
      <c r="F25" s="14">
        <v>0</v>
      </c>
      <c r="G25" s="31"/>
    </row>
    <row r="26" spans="1:7" ht="16.05" customHeight="1" x14ac:dyDescent="0.3">
      <c r="A26" s="21" t="s">
        <v>40</v>
      </c>
      <c r="B26" s="22" t="s">
        <v>14</v>
      </c>
      <c r="C26" s="21" t="s">
        <v>43</v>
      </c>
      <c r="D26" s="13"/>
      <c r="E26" s="25" t="s">
        <v>11</v>
      </c>
      <c r="F26" s="14">
        <v>0</v>
      </c>
      <c r="G26" s="31"/>
    </row>
    <row r="27" spans="1:7" ht="16.05" customHeight="1" x14ac:dyDescent="0.3">
      <c r="A27" s="17" t="s">
        <v>44</v>
      </c>
      <c r="B27" s="18" t="s">
        <v>9</v>
      </c>
      <c r="C27" s="17" t="s">
        <v>45</v>
      </c>
      <c r="D27" s="13" t="s">
        <v>11</v>
      </c>
      <c r="E27" s="25"/>
      <c r="F27" s="14">
        <v>0</v>
      </c>
      <c r="G27" s="31"/>
    </row>
    <row r="28" spans="1:7" ht="16.05" customHeight="1" x14ac:dyDescent="0.3">
      <c r="A28" s="19" t="s">
        <v>44</v>
      </c>
      <c r="B28" s="20" t="s">
        <v>12</v>
      </c>
      <c r="C28" s="19" t="s">
        <v>46</v>
      </c>
      <c r="D28" s="13" t="s">
        <v>11</v>
      </c>
      <c r="E28" s="25"/>
      <c r="F28" s="14">
        <v>0</v>
      </c>
      <c r="G28" s="31"/>
    </row>
    <row r="29" spans="1:7" ht="16.05" customHeight="1" x14ac:dyDescent="0.3">
      <c r="A29" s="21" t="s">
        <v>44</v>
      </c>
      <c r="B29" s="22" t="s">
        <v>14</v>
      </c>
      <c r="C29" s="21" t="s">
        <v>47</v>
      </c>
      <c r="D29" s="13" t="s">
        <v>11</v>
      </c>
      <c r="E29" s="25"/>
      <c r="F29" s="14">
        <v>0</v>
      </c>
      <c r="G29" s="31"/>
    </row>
    <row r="30" spans="1:7" ht="16.05" customHeight="1" x14ac:dyDescent="0.3">
      <c r="A30" s="17" t="s">
        <v>48</v>
      </c>
      <c r="B30" s="18" t="s">
        <v>9</v>
      </c>
      <c r="C30" s="17" t="s">
        <v>49</v>
      </c>
      <c r="D30" s="13"/>
      <c r="E30" s="25" t="s">
        <v>11</v>
      </c>
      <c r="F30" s="14">
        <v>0</v>
      </c>
      <c r="G30" s="31"/>
    </row>
    <row r="31" spans="1:7" ht="16.05" customHeight="1" x14ac:dyDescent="0.3">
      <c r="A31" s="19" t="s">
        <v>48</v>
      </c>
      <c r="B31" s="20" t="s">
        <v>12</v>
      </c>
      <c r="C31" s="19" t="s">
        <v>50</v>
      </c>
      <c r="D31" s="13" t="s">
        <v>11</v>
      </c>
      <c r="E31" s="25"/>
      <c r="F31" s="14">
        <v>0</v>
      </c>
      <c r="G31" s="31"/>
    </row>
    <row r="32" spans="1:7" ht="16.05" customHeight="1" x14ac:dyDescent="0.3">
      <c r="A32" s="21" t="s">
        <v>48</v>
      </c>
      <c r="B32" s="22" t="s">
        <v>14</v>
      </c>
      <c r="C32" s="21" t="s">
        <v>51</v>
      </c>
      <c r="D32" s="13"/>
      <c r="E32" s="25" t="s">
        <v>11</v>
      </c>
      <c r="F32" s="14">
        <v>0</v>
      </c>
      <c r="G32" s="31"/>
    </row>
    <row r="33" spans="1:7" ht="16.05" customHeight="1" x14ac:dyDescent="0.3">
      <c r="A33" s="17" t="s">
        <v>52</v>
      </c>
      <c r="B33" s="18" t="s">
        <v>9</v>
      </c>
      <c r="C33" s="17" t="s">
        <v>53</v>
      </c>
      <c r="D33" s="13" t="s">
        <v>11</v>
      </c>
      <c r="E33" s="25"/>
      <c r="F33" s="14">
        <v>0</v>
      </c>
      <c r="G33" s="31"/>
    </row>
    <row r="34" spans="1:7" ht="16.05" customHeight="1" x14ac:dyDescent="0.3">
      <c r="A34" s="19" t="s">
        <v>52</v>
      </c>
      <c r="B34" s="20" t="s">
        <v>12</v>
      </c>
      <c r="C34" s="19" t="s">
        <v>54</v>
      </c>
      <c r="D34" s="13"/>
      <c r="E34" s="25" t="s">
        <v>11</v>
      </c>
      <c r="F34" s="14">
        <v>0</v>
      </c>
      <c r="G34" s="31"/>
    </row>
    <row r="35" spans="1:7" ht="16.05" customHeight="1" x14ac:dyDescent="0.3">
      <c r="A35" s="21" t="s">
        <v>52</v>
      </c>
      <c r="B35" s="22" t="s">
        <v>14</v>
      </c>
      <c r="C35" s="21" t="s">
        <v>22</v>
      </c>
      <c r="D35" s="13" t="s">
        <v>11</v>
      </c>
      <c r="E35" s="25"/>
      <c r="F35" s="14">
        <v>0</v>
      </c>
      <c r="G35" s="31"/>
    </row>
    <row r="36" spans="1:7" ht="16.05" customHeight="1" x14ac:dyDescent="0.3">
      <c r="A36" s="17" t="s">
        <v>55</v>
      </c>
      <c r="B36" s="18" t="s">
        <v>9</v>
      </c>
      <c r="C36" s="17" t="s">
        <v>56</v>
      </c>
      <c r="D36" s="13" t="s">
        <v>11</v>
      </c>
      <c r="E36" s="25"/>
      <c r="F36" s="14">
        <v>0</v>
      </c>
      <c r="G36" s="31"/>
    </row>
    <row r="37" spans="1:7" ht="16.05" customHeight="1" x14ac:dyDescent="0.3">
      <c r="A37" s="19" t="s">
        <v>55</v>
      </c>
      <c r="B37" s="20" t="s">
        <v>12</v>
      </c>
      <c r="C37" s="19" t="s">
        <v>57</v>
      </c>
      <c r="D37" s="13" t="s">
        <v>11</v>
      </c>
      <c r="E37" s="25"/>
      <c r="F37" s="14">
        <v>0</v>
      </c>
      <c r="G37" s="31"/>
    </row>
    <row r="38" spans="1:7" ht="16.05" customHeight="1" x14ac:dyDescent="0.3">
      <c r="A38" s="21" t="s">
        <v>55</v>
      </c>
      <c r="B38" s="22" t="s">
        <v>14</v>
      </c>
      <c r="C38" s="21" t="s">
        <v>58</v>
      </c>
      <c r="D38" s="13"/>
      <c r="E38" s="25" t="s">
        <v>11</v>
      </c>
      <c r="F38" s="14">
        <v>0</v>
      </c>
      <c r="G38" s="31"/>
    </row>
    <row r="39" spans="1:7" ht="16.05" customHeight="1" x14ac:dyDescent="0.3">
      <c r="A39" s="17" t="s">
        <v>59</v>
      </c>
      <c r="B39" s="18" t="s">
        <v>9</v>
      </c>
      <c r="C39" s="17" t="s">
        <v>60</v>
      </c>
      <c r="D39" s="13" t="s">
        <v>11</v>
      </c>
      <c r="E39" s="25"/>
      <c r="F39" s="14">
        <v>0</v>
      </c>
      <c r="G39" s="31"/>
    </row>
    <row r="40" spans="1:7" ht="16.05" customHeight="1" x14ac:dyDescent="0.3">
      <c r="A40" s="19" t="s">
        <v>59</v>
      </c>
      <c r="B40" s="20" t="s">
        <v>12</v>
      </c>
      <c r="C40" s="19" t="s">
        <v>61</v>
      </c>
      <c r="D40" s="13"/>
      <c r="E40" s="25" t="s">
        <v>11</v>
      </c>
      <c r="F40" s="14">
        <v>0</v>
      </c>
      <c r="G40" s="31"/>
    </row>
    <row r="41" spans="1:7" ht="16.05" customHeight="1" x14ac:dyDescent="0.3">
      <c r="A41" s="21" t="s">
        <v>59</v>
      </c>
      <c r="B41" s="22" t="s">
        <v>14</v>
      </c>
      <c r="C41" s="21" t="s">
        <v>62</v>
      </c>
      <c r="D41" s="13" t="s">
        <v>11</v>
      </c>
      <c r="E41" s="25"/>
      <c r="F41" s="14">
        <v>0</v>
      </c>
      <c r="G41" s="31"/>
    </row>
    <row r="42" spans="1:7" ht="16.05" customHeight="1" x14ac:dyDescent="0.3">
      <c r="A42" s="17" t="s">
        <v>63</v>
      </c>
      <c r="B42" s="18" t="s">
        <v>9</v>
      </c>
      <c r="C42" s="17" t="s">
        <v>64</v>
      </c>
      <c r="D42" s="13"/>
      <c r="E42" s="25" t="s">
        <v>11</v>
      </c>
      <c r="F42" s="14">
        <v>0</v>
      </c>
      <c r="G42" s="31"/>
    </row>
    <row r="43" spans="1:7" ht="16.05" customHeight="1" x14ac:dyDescent="0.3">
      <c r="A43" s="19" t="s">
        <v>63</v>
      </c>
      <c r="B43" s="20" t="s">
        <v>12</v>
      </c>
      <c r="C43" s="19" t="s">
        <v>65</v>
      </c>
      <c r="D43" s="13"/>
      <c r="E43" s="25" t="s">
        <v>11</v>
      </c>
      <c r="F43" s="14">
        <v>0</v>
      </c>
      <c r="G43" s="31"/>
    </row>
    <row r="44" spans="1:7" ht="16.05" customHeight="1" x14ac:dyDescent="0.3">
      <c r="A44" s="21" t="s">
        <v>63</v>
      </c>
      <c r="B44" s="22" t="s">
        <v>14</v>
      </c>
      <c r="C44" s="21" t="s">
        <v>66</v>
      </c>
      <c r="D44" s="13" t="s">
        <v>11</v>
      </c>
      <c r="E44" s="25"/>
      <c r="F44" s="14">
        <v>0</v>
      </c>
      <c r="G44" s="31"/>
    </row>
    <row r="45" spans="1:7" ht="16.05" customHeight="1" x14ac:dyDescent="0.3">
      <c r="A45" s="17" t="s">
        <v>67</v>
      </c>
      <c r="B45" s="18" t="s">
        <v>9</v>
      </c>
      <c r="C45" s="17" t="s">
        <v>68</v>
      </c>
      <c r="D45" s="13"/>
      <c r="E45" s="25" t="s">
        <v>11</v>
      </c>
      <c r="F45" s="14">
        <v>0</v>
      </c>
      <c r="G45" s="31"/>
    </row>
    <row r="46" spans="1:7" ht="16.05" customHeight="1" x14ac:dyDescent="0.3">
      <c r="A46" s="19" t="s">
        <v>67</v>
      </c>
      <c r="B46" s="20" t="s">
        <v>12</v>
      </c>
      <c r="C46" s="19" t="s">
        <v>69</v>
      </c>
      <c r="D46" s="13"/>
      <c r="E46" s="25" t="s">
        <v>11</v>
      </c>
      <c r="F46" s="14">
        <v>0</v>
      </c>
      <c r="G46" s="31"/>
    </row>
    <row r="47" spans="1:7" ht="16.05" customHeight="1" x14ac:dyDescent="0.3">
      <c r="A47" s="21" t="s">
        <v>67</v>
      </c>
      <c r="B47" s="22" t="s">
        <v>14</v>
      </c>
      <c r="C47" s="21" t="s">
        <v>70</v>
      </c>
      <c r="D47" s="13"/>
      <c r="E47" s="25" t="s">
        <v>11</v>
      </c>
      <c r="F47" s="14">
        <v>0</v>
      </c>
      <c r="G47" s="31"/>
    </row>
    <row r="48" spans="1:7" ht="16.05" customHeight="1" x14ac:dyDescent="0.3">
      <c r="A48" s="17" t="s">
        <v>71</v>
      </c>
      <c r="B48" s="18" t="s">
        <v>9</v>
      </c>
      <c r="C48" s="17" t="s">
        <v>72</v>
      </c>
      <c r="D48" s="13"/>
      <c r="E48" s="25" t="s">
        <v>11</v>
      </c>
      <c r="F48" s="14">
        <v>0</v>
      </c>
      <c r="G48" s="31"/>
    </row>
    <row r="49" spans="1:7" ht="16.05" customHeight="1" x14ac:dyDescent="0.3">
      <c r="A49" s="19" t="s">
        <v>71</v>
      </c>
      <c r="B49" s="20" t="s">
        <v>12</v>
      </c>
      <c r="C49" s="19" t="s">
        <v>73</v>
      </c>
      <c r="D49" s="13"/>
      <c r="E49" s="25" t="s">
        <v>11</v>
      </c>
      <c r="F49" s="14">
        <v>0</v>
      </c>
      <c r="G49" s="31"/>
    </row>
    <row r="50" spans="1:7" ht="16.05" customHeight="1" x14ac:dyDescent="0.3">
      <c r="A50" s="21" t="s">
        <v>71</v>
      </c>
      <c r="B50" s="22" t="s">
        <v>14</v>
      </c>
      <c r="C50" s="21" t="s">
        <v>74</v>
      </c>
      <c r="D50" s="13"/>
      <c r="E50" s="25" t="s">
        <v>11</v>
      </c>
      <c r="F50" s="14">
        <v>0</v>
      </c>
      <c r="G50" s="31"/>
    </row>
    <row r="51" spans="1:7" ht="16.05" customHeight="1" x14ac:dyDescent="0.3">
      <c r="A51" s="17" t="s">
        <v>75</v>
      </c>
      <c r="B51" s="18" t="s">
        <v>9</v>
      </c>
      <c r="C51" s="17" t="s">
        <v>76</v>
      </c>
      <c r="D51" s="13" t="s">
        <v>11</v>
      </c>
      <c r="E51" s="25"/>
      <c r="F51" s="14">
        <v>0</v>
      </c>
      <c r="G51" s="31"/>
    </row>
    <row r="52" spans="1:7" ht="16.05" customHeight="1" x14ac:dyDescent="0.3">
      <c r="A52" s="19" t="s">
        <v>75</v>
      </c>
      <c r="B52" s="20" t="s">
        <v>12</v>
      </c>
      <c r="C52" s="19" t="s">
        <v>77</v>
      </c>
      <c r="D52" s="13"/>
      <c r="E52" s="25" t="s">
        <v>11</v>
      </c>
      <c r="F52" s="14">
        <v>0</v>
      </c>
      <c r="G52" s="31"/>
    </row>
    <row r="53" spans="1:7" ht="16.05" customHeight="1" x14ac:dyDescent="0.3">
      <c r="A53" s="21" t="s">
        <v>75</v>
      </c>
      <c r="B53" s="22" t="s">
        <v>14</v>
      </c>
      <c r="C53" s="21" t="s">
        <v>78</v>
      </c>
      <c r="D53" s="13" t="s">
        <v>11</v>
      </c>
      <c r="E53" s="25"/>
      <c r="F53" s="14">
        <v>0</v>
      </c>
      <c r="G53" s="31"/>
    </row>
    <row r="54" spans="1:7" ht="16.05" customHeight="1" x14ac:dyDescent="0.3">
      <c r="A54" s="17" t="s">
        <v>79</v>
      </c>
      <c r="B54" s="18" t="s">
        <v>9</v>
      </c>
      <c r="C54" s="17" t="s">
        <v>80</v>
      </c>
      <c r="D54" s="13"/>
      <c r="E54" s="25" t="s">
        <v>11</v>
      </c>
      <c r="F54" s="14">
        <v>0</v>
      </c>
      <c r="G54" s="31"/>
    </row>
    <row r="55" spans="1:7" ht="16.05" customHeight="1" x14ac:dyDescent="0.3">
      <c r="A55" s="19" t="s">
        <v>79</v>
      </c>
      <c r="B55" s="20" t="s">
        <v>12</v>
      </c>
      <c r="C55" s="19" t="s">
        <v>81</v>
      </c>
      <c r="D55" s="13"/>
      <c r="E55" s="25" t="s">
        <v>11</v>
      </c>
      <c r="F55" s="14">
        <v>0</v>
      </c>
      <c r="G55" s="31"/>
    </row>
    <row r="56" spans="1:7" ht="16.05" customHeight="1" x14ac:dyDescent="0.3">
      <c r="A56" s="21" t="s">
        <v>79</v>
      </c>
      <c r="B56" s="22" t="s">
        <v>14</v>
      </c>
      <c r="C56" s="21" t="s">
        <v>82</v>
      </c>
      <c r="D56" s="13" t="s">
        <v>11</v>
      </c>
      <c r="E56" s="25"/>
      <c r="F56" s="14">
        <v>0</v>
      </c>
      <c r="G56" s="31"/>
    </row>
    <row r="57" spans="1:7" ht="16.05" customHeight="1" x14ac:dyDescent="0.3">
      <c r="A57" s="17" t="s">
        <v>83</v>
      </c>
      <c r="B57" s="18" t="s">
        <v>9</v>
      </c>
      <c r="C57" s="17" t="s">
        <v>84</v>
      </c>
      <c r="D57" s="13" t="s">
        <v>11</v>
      </c>
      <c r="E57" s="25"/>
      <c r="F57" s="14">
        <v>0</v>
      </c>
      <c r="G57" s="31"/>
    </row>
    <row r="58" spans="1:7" ht="16.05" customHeight="1" x14ac:dyDescent="0.3">
      <c r="A58" s="19" t="s">
        <v>83</v>
      </c>
      <c r="B58" s="20" t="s">
        <v>12</v>
      </c>
      <c r="C58" s="19" t="s">
        <v>85</v>
      </c>
      <c r="D58" s="13"/>
      <c r="E58" s="25" t="s">
        <v>11</v>
      </c>
      <c r="F58" s="14">
        <v>0</v>
      </c>
      <c r="G58" s="31"/>
    </row>
    <row r="59" spans="1:7" ht="16.05" customHeight="1" x14ac:dyDescent="0.3">
      <c r="A59" s="21" t="s">
        <v>83</v>
      </c>
      <c r="B59" s="22" t="s">
        <v>14</v>
      </c>
      <c r="C59" s="21" t="s">
        <v>86</v>
      </c>
      <c r="D59" s="13" t="s">
        <v>11</v>
      </c>
      <c r="E59" s="25"/>
      <c r="F59" s="14">
        <v>0</v>
      </c>
      <c r="G59" s="31"/>
    </row>
    <row r="60" spans="1:7" ht="16.05" customHeight="1" x14ac:dyDescent="0.3">
      <c r="A60" s="17" t="s">
        <v>87</v>
      </c>
      <c r="B60" s="18" t="s">
        <v>9</v>
      </c>
      <c r="C60" s="17" t="s">
        <v>88</v>
      </c>
      <c r="D60" s="13"/>
      <c r="E60" s="25" t="s">
        <v>11</v>
      </c>
      <c r="F60" s="14">
        <v>0</v>
      </c>
      <c r="G60" s="31"/>
    </row>
    <row r="61" spans="1:7" ht="16.05" customHeight="1" x14ac:dyDescent="0.3">
      <c r="A61" s="19" t="s">
        <v>87</v>
      </c>
      <c r="B61" s="20" t="s">
        <v>12</v>
      </c>
      <c r="C61" s="19" t="s">
        <v>89</v>
      </c>
      <c r="D61" s="13"/>
      <c r="E61" s="25" t="s">
        <v>11</v>
      </c>
      <c r="F61" s="14">
        <v>0</v>
      </c>
      <c r="G61" s="31"/>
    </row>
    <row r="62" spans="1:7" ht="16.05" customHeight="1" x14ac:dyDescent="0.3">
      <c r="A62" s="21" t="s">
        <v>87</v>
      </c>
      <c r="B62" s="22" t="s">
        <v>14</v>
      </c>
      <c r="C62" s="21" t="s">
        <v>90</v>
      </c>
      <c r="D62" s="13"/>
      <c r="E62" s="25" t="s">
        <v>11</v>
      </c>
      <c r="F62" s="14">
        <v>0</v>
      </c>
      <c r="G62" s="31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pane ySplit="2" topLeftCell="A8" activePane="bottomLeft" state="frozen"/>
      <selection pane="bottomLeft" activeCell="D36" sqref="D3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5" t="s">
        <v>8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103</v>
      </c>
      <c r="B3" s="12" t="s">
        <v>104</v>
      </c>
      <c r="C3" s="13" t="s">
        <v>11</v>
      </c>
      <c r="D3" s="25"/>
      <c r="E3" s="14">
        <v>2</v>
      </c>
      <c r="F3" s="31"/>
    </row>
    <row r="4" spans="1:6" ht="16.05" customHeight="1" x14ac:dyDescent="0.3">
      <c r="A4" s="15" t="s">
        <v>105</v>
      </c>
      <c r="B4" s="16" t="s">
        <v>106</v>
      </c>
      <c r="C4" s="13" t="s">
        <v>11</v>
      </c>
      <c r="D4" s="25"/>
      <c r="E4" s="14">
        <v>2</v>
      </c>
      <c r="F4" s="31"/>
    </row>
    <row r="5" spans="1:6" ht="16.05" customHeight="1" x14ac:dyDescent="0.3">
      <c r="A5" s="11" t="s">
        <v>107</v>
      </c>
      <c r="B5" s="12" t="s">
        <v>108</v>
      </c>
      <c r="C5" s="13"/>
      <c r="D5" s="25" t="s">
        <v>11</v>
      </c>
      <c r="E5" s="14"/>
      <c r="F5" s="31"/>
    </row>
    <row r="6" spans="1:6" ht="16.05" customHeight="1" x14ac:dyDescent="0.3">
      <c r="A6" s="15" t="s">
        <v>109</v>
      </c>
      <c r="B6" s="16" t="s">
        <v>110</v>
      </c>
      <c r="C6" s="13" t="s">
        <v>11</v>
      </c>
      <c r="D6" s="25"/>
      <c r="E6" s="14"/>
      <c r="F6" s="31"/>
    </row>
    <row r="7" spans="1:6" ht="16.05" customHeight="1" x14ac:dyDescent="0.3">
      <c r="A7" s="11" t="s">
        <v>111</v>
      </c>
      <c r="B7" s="12" t="s">
        <v>108</v>
      </c>
      <c r="C7" s="13" t="s">
        <v>11</v>
      </c>
      <c r="D7" s="25"/>
      <c r="E7" s="14">
        <v>3</v>
      </c>
      <c r="F7" s="31"/>
    </row>
    <row r="8" spans="1:6" ht="16.05" customHeight="1" x14ac:dyDescent="0.3">
      <c r="A8" s="15" t="s">
        <v>112</v>
      </c>
      <c r="B8" s="16" t="s">
        <v>113</v>
      </c>
      <c r="C8" s="13" t="s">
        <v>11</v>
      </c>
      <c r="D8" s="25"/>
      <c r="E8" s="14">
        <v>1</v>
      </c>
      <c r="F8" s="31"/>
    </row>
    <row r="9" spans="1:6" ht="16.05" customHeight="1" x14ac:dyDescent="0.3">
      <c r="A9" s="11" t="s">
        <v>114</v>
      </c>
      <c r="B9" s="12" t="s">
        <v>115</v>
      </c>
      <c r="C9" s="13" t="s">
        <v>11</v>
      </c>
      <c r="D9" s="25"/>
      <c r="E9" s="14">
        <v>2</v>
      </c>
      <c r="F9" s="31"/>
    </row>
    <row r="10" spans="1:6" ht="16.05" customHeight="1" x14ac:dyDescent="0.3">
      <c r="A10" s="15" t="s">
        <v>116</v>
      </c>
      <c r="B10" s="16" t="s">
        <v>117</v>
      </c>
      <c r="C10" s="13" t="s">
        <v>11</v>
      </c>
      <c r="D10" s="25"/>
      <c r="E10" s="14"/>
      <c r="F10" s="31"/>
    </row>
    <row r="11" spans="1:6" ht="16.05" customHeight="1" x14ac:dyDescent="0.3">
      <c r="A11" s="11" t="s">
        <v>118</v>
      </c>
      <c r="B11" s="12" t="s">
        <v>119</v>
      </c>
      <c r="C11" s="13" t="s">
        <v>11</v>
      </c>
      <c r="D11" s="25"/>
      <c r="E11" s="14"/>
      <c r="F11" s="31"/>
    </row>
    <row r="12" spans="1:6" ht="16.05" customHeight="1" x14ac:dyDescent="0.3">
      <c r="A12" s="15" t="s">
        <v>120</v>
      </c>
      <c r="B12" s="16" t="s">
        <v>121</v>
      </c>
      <c r="C12" s="13" t="s">
        <v>11</v>
      </c>
      <c r="D12" s="25"/>
      <c r="E12" s="14">
        <v>3</v>
      </c>
      <c r="F12" s="31"/>
    </row>
    <row r="13" spans="1:6" ht="16.05" customHeight="1" x14ac:dyDescent="0.3">
      <c r="A13" s="11" t="s">
        <v>122</v>
      </c>
      <c r="B13" s="12" t="s">
        <v>123</v>
      </c>
      <c r="C13" s="13"/>
      <c r="D13" s="25"/>
      <c r="E13" s="14">
        <v>2</v>
      </c>
      <c r="F13" s="31"/>
    </row>
    <row r="14" spans="1:6" ht="16.05" customHeight="1" x14ac:dyDescent="0.3">
      <c r="A14" s="15" t="s">
        <v>124</v>
      </c>
      <c r="B14" s="16" t="s">
        <v>125</v>
      </c>
      <c r="C14" s="13"/>
      <c r="D14" s="25"/>
      <c r="E14" s="14">
        <v>2</v>
      </c>
      <c r="F14" s="31"/>
    </row>
    <row r="15" spans="1:6" ht="16.05" customHeight="1" x14ac:dyDescent="0.3">
      <c r="A15" s="11" t="s">
        <v>126</v>
      </c>
      <c r="B15" s="12" t="s">
        <v>127</v>
      </c>
      <c r="C15" s="13" t="s">
        <v>11</v>
      </c>
      <c r="D15" s="25"/>
      <c r="E15" s="14"/>
      <c r="F15" s="31"/>
    </row>
    <row r="16" spans="1:6" ht="16.05" customHeight="1" x14ac:dyDescent="0.3">
      <c r="A16" s="15" t="s">
        <v>128</v>
      </c>
      <c r="B16" s="16" t="s">
        <v>129</v>
      </c>
      <c r="C16" s="13"/>
      <c r="D16" s="25"/>
      <c r="E16" s="14">
        <v>3</v>
      </c>
      <c r="F16" s="31"/>
    </row>
    <row r="17" spans="1:6" ht="16.05" customHeight="1" x14ac:dyDescent="0.3">
      <c r="A17" s="11" t="s">
        <v>130</v>
      </c>
      <c r="B17" s="12" t="s">
        <v>131</v>
      </c>
      <c r="C17" s="13" t="s">
        <v>11</v>
      </c>
      <c r="D17" s="25"/>
      <c r="E17" s="14">
        <v>3</v>
      </c>
      <c r="F17" s="31"/>
    </row>
    <row r="18" spans="1:6" ht="16.05" customHeight="1" x14ac:dyDescent="0.3">
      <c r="A18" s="15" t="s">
        <v>132</v>
      </c>
      <c r="B18" s="16" t="s">
        <v>133</v>
      </c>
      <c r="C18" s="13"/>
      <c r="D18" s="25"/>
      <c r="E18" s="14"/>
      <c r="F18" s="31"/>
    </row>
    <row r="19" spans="1:6" ht="16.05" customHeight="1" x14ac:dyDescent="0.3">
      <c r="A19" s="11" t="s">
        <v>134</v>
      </c>
      <c r="B19" s="12" t="s">
        <v>135</v>
      </c>
      <c r="C19" s="13" t="s">
        <v>11</v>
      </c>
      <c r="D19" s="25"/>
      <c r="E19" s="14"/>
      <c r="F19" s="31"/>
    </row>
    <row r="20" spans="1:6" ht="16.05" customHeight="1" x14ac:dyDescent="0.3">
      <c r="A20" s="15" t="s">
        <v>136</v>
      </c>
      <c r="B20" s="16" t="s">
        <v>13</v>
      </c>
      <c r="C20" s="13" t="s">
        <v>11</v>
      </c>
      <c r="D20" s="25"/>
      <c r="E20" s="14">
        <v>1</v>
      </c>
      <c r="F20" s="31"/>
    </row>
    <row r="21" spans="1:6" ht="16.05" customHeight="1" x14ac:dyDescent="0.3">
      <c r="A21" s="11" t="s">
        <v>137</v>
      </c>
      <c r="B21" s="12" t="s">
        <v>138</v>
      </c>
      <c r="C21" s="13"/>
      <c r="D21" s="25"/>
      <c r="E21" s="14">
        <v>2</v>
      </c>
      <c r="F21" s="31"/>
    </row>
    <row r="22" spans="1:6" ht="16.05" customHeight="1" x14ac:dyDescent="0.3">
      <c r="A22" s="15" t="s">
        <v>139</v>
      </c>
      <c r="B22" s="16" t="s">
        <v>15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140</v>
      </c>
      <c r="B23" s="12" t="s">
        <v>141</v>
      </c>
      <c r="C23" s="13" t="s">
        <v>11</v>
      </c>
      <c r="D23" s="25"/>
      <c r="E23" s="14">
        <v>2</v>
      </c>
      <c r="F23" s="31"/>
    </row>
    <row r="24" spans="1:6" ht="16.05" customHeight="1" x14ac:dyDescent="0.3">
      <c r="A24" s="15" t="s">
        <v>142</v>
      </c>
      <c r="B24" s="16" t="s">
        <v>143</v>
      </c>
      <c r="C24" s="13"/>
      <c r="D24" s="25"/>
      <c r="E24" s="14"/>
      <c r="F24" s="31"/>
    </row>
    <row r="25" spans="1:6" ht="16.05" customHeight="1" x14ac:dyDescent="0.3">
      <c r="A25" s="11" t="s">
        <v>144</v>
      </c>
      <c r="B25" s="12" t="s">
        <v>145</v>
      </c>
      <c r="C25" s="13" t="s">
        <v>11</v>
      </c>
      <c r="D25" s="25"/>
      <c r="E25" s="14">
        <v>2</v>
      </c>
      <c r="F25" s="31"/>
    </row>
    <row r="26" spans="1:6" ht="16.05" customHeight="1" x14ac:dyDescent="0.3">
      <c r="A26" s="15" t="s">
        <v>146</v>
      </c>
      <c r="B26" s="16" t="s">
        <v>147</v>
      </c>
      <c r="C26" s="13" t="s">
        <v>11</v>
      </c>
      <c r="D26" s="25"/>
      <c r="E26" s="14">
        <v>2</v>
      </c>
      <c r="F26" s="31"/>
    </row>
    <row r="27" spans="1:6" ht="16.05" customHeight="1" x14ac:dyDescent="0.3">
      <c r="A27" s="11" t="s">
        <v>148</v>
      </c>
      <c r="B27" s="12" t="s">
        <v>149</v>
      </c>
      <c r="C27" s="13" t="s">
        <v>11</v>
      </c>
      <c r="D27" s="25"/>
      <c r="E27" s="14"/>
      <c r="F27" s="31"/>
    </row>
    <row r="28" spans="1:6" ht="16.05" customHeight="1" x14ac:dyDescent="0.3">
      <c r="A28" s="15" t="s">
        <v>150</v>
      </c>
      <c r="B28" s="16" t="s">
        <v>151</v>
      </c>
      <c r="C28" s="13" t="s">
        <v>11</v>
      </c>
      <c r="D28" s="25"/>
      <c r="E28" s="14"/>
      <c r="F28" s="31"/>
    </row>
    <row r="29" spans="1:6" ht="16.05" customHeight="1" x14ac:dyDescent="0.3">
      <c r="A29" s="11" t="s">
        <v>152</v>
      </c>
      <c r="B29" s="12" t="s">
        <v>153</v>
      </c>
      <c r="C29" s="13"/>
      <c r="D29" s="25"/>
      <c r="E29" s="14"/>
      <c r="F29" s="31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>
      <pane ySplit="2" topLeftCell="A11" activePane="bottomLeft" state="frozen"/>
      <selection pane="bottomLeft" activeCell="G19" sqref="G1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6" t="s">
        <v>16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154</v>
      </c>
      <c r="B3" s="12" t="s">
        <v>155</v>
      </c>
      <c r="C3" s="13" t="s">
        <v>11</v>
      </c>
      <c r="D3" s="25"/>
      <c r="E3" s="14"/>
      <c r="F3" s="31"/>
    </row>
    <row r="4" spans="1:6" ht="16.05" customHeight="1" x14ac:dyDescent="0.3">
      <c r="A4" s="15" t="s">
        <v>156</v>
      </c>
      <c r="B4" s="16" t="s">
        <v>157</v>
      </c>
      <c r="C4" s="13" t="s">
        <v>11</v>
      </c>
      <c r="D4" s="25"/>
      <c r="E4" s="14">
        <v>2</v>
      </c>
      <c r="F4" s="31"/>
    </row>
    <row r="5" spans="1:6" ht="16.05" customHeight="1" x14ac:dyDescent="0.3">
      <c r="A5" s="11" t="s">
        <v>158</v>
      </c>
      <c r="B5" s="12" t="s">
        <v>18</v>
      </c>
      <c r="C5" s="13"/>
      <c r="D5" s="25" t="s">
        <v>11</v>
      </c>
      <c r="E5" s="14"/>
      <c r="F5" s="31"/>
    </row>
    <row r="6" spans="1:6" ht="16.05" customHeight="1" x14ac:dyDescent="0.3">
      <c r="A6" s="15" t="s">
        <v>159</v>
      </c>
      <c r="B6" s="16" t="s">
        <v>160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161</v>
      </c>
      <c r="B7" s="12" t="s">
        <v>162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163</v>
      </c>
      <c r="B8" s="16" t="s">
        <v>164</v>
      </c>
      <c r="C8" s="13"/>
      <c r="D8" s="25"/>
      <c r="E8" s="14"/>
      <c r="F8" s="31"/>
    </row>
    <row r="9" spans="1:6" ht="16.05" customHeight="1" x14ac:dyDescent="0.3">
      <c r="A9" s="11" t="s">
        <v>165</v>
      </c>
      <c r="B9" s="12" t="s">
        <v>166</v>
      </c>
      <c r="C9" s="13"/>
      <c r="D9" s="25"/>
      <c r="E9" s="14"/>
      <c r="F9" s="31"/>
    </row>
    <row r="10" spans="1:6" ht="16.05" customHeight="1" x14ac:dyDescent="0.3">
      <c r="A10" s="15" t="s">
        <v>167</v>
      </c>
      <c r="B10" s="16" t="s">
        <v>168</v>
      </c>
      <c r="C10" s="13" t="s">
        <v>11</v>
      </c>
      <c r="D10" s="25"/>
      <c r="E10" s="14"/>
      <c r="F10" s="31"/>
    </row>
    <row r="11" spans="1:6" ht="16.05" customHeight="1" x14ac:dyDescent="0.3">
      <c r="A11" s="11" t="s">
        <v>169</v>
      </c>
      <c r="B11" s="12" t="s">
        <v>170</v>
      </c>
      <c r="C11" s="13"/>
      <c r="D11" s="25"/>
      <c r="E11" s="14">
        <v>2</v>
      </c>
      <c r="F11" s="31"/>
    </row>
    <row r="12" spans="1:6" ht="16.05" customHeight="1" x14ac:dyDescent="0.3">
      <c r="A12" s="15" t="s">
        <v>171</v>
      </c>
      <c r="B12" s="16" t="s">
        <v>172</v>
      </c>
      <c r="C12" s="13" t="s">
        <v>11</v>
      </c>
      <c r="D12" s="25"/>
      <c r="E12" s="14">
        <v>1</v>
      </c>
      <c r="F12" s="31"/>
    </row>
    <row r="13" spans="1:6" ht="16.05" customHeight="1" x14ac:dyDescent="0.3">
      <c r="A13" s="11" t="s">
        <v>173</v>
      </c>
      <c r="B13" s="12" t="s">
        <v>174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175</v>
      </c>
      <c r="B14" s="16" t="s">
        <v>176</v>
      </c>
      <c r="C14" s="13" t="s">
        <v>11</v>
      </c>
      <c r="D14" s="25"/>
      <c r="E14" s="14">
        <v>1</v>
      </c>
      <c r="F14" s="31"/>
    </row>
    <row r="15" spans="1:6" ht="16.05" customHeight="1" x14ac:dyDescent="0.3">
      <c r="A15" s="11" t="s">
        <v>177</v>
      </c>
      <c r="B15" s="12" t="s">
        <v>178</v>
      </c>
      <c r="C15" s="13"/>
      <c r="D15" s="25"/>
      <c r="E15" s="14">
        <v>1</v>
      </c>
      <c r="F15" s="31">
        <v>1</v>
      </c>
    </row>
    <row r="16" spans="1:6" ht="16.05" customHeight="1" x14ac:dyDescent="0.3">
      <c r="A16" s="15" t="s">
        <v>179</v>
      </c>
      <c r="B16" s="16" t="s">
        <v>180</v>
      </c>
      <c r="C16" s="13" t="s">
        <v>11</v>
      </c>
      <c r="D16" s="25"/>
      <c r="E16" s="14">
        <v>2</v>
      </c>
      <c r="F16" s="31"/>
    </row>
    <row r="17" spans="1:6" ht="16.05" customHeight="1" x14ac:dyDescent="0.3">
      <c r="A17" s="11" t="s">
        <v>181</v>
      </c>
      <c r="B17" s="12" t="s">
        <v>182</v>
      </c>
      <c r="C17" s="13" t="s">
        <v>11</v>
      </c>
      <c r="D17" s="25"/>
      <c r="E17" s="14">
        <v>1</v>
      </c>
      <c r="F17" s="31"/>
    </row>
    <row r="18" spans="1:6" ht="16.05" customHeight="1" x14ac:dyDescent="0.3">
      <c r="A18" s="15" t="s">
        <v>183</v>
      </c>
      <c r="B18" s="16" t="s">
        <v>19</v>
      </c>
      <c r="C18" s="13" t="s">
        <v>11</v>
      </c>
      <c r="D18" s="25"/>
      <c r="E18" s="14">
        <v>3</v>
      </c>
      <c r="F18" s="31"/>
    </row>
    <row r="19" spans="1:6" ht="16.05" customHeight="1" x14ac:dyDescent="0.3">
      <c r="A19" s="11" t="s">
        <v>184</v>
      </c>
      <c r="B19" s="12" t="s">
        <v>185</v>
      </c>
      <c r="C19" s="13" t="s">
        <v>11</v>
      </c>
      <c r="D19" s="25"/>
      <c r="E19" s="14">
        <v>1</v>
      </c>
      <c r="F19" s="31"/>
    </row>
    <row r="20" spans="1:6" ht="16.05" customHeight="1" x14ac:dyDescent="0.3">
      <c r="A20" s="15" t="s">
        <v>186</v>
      </c>
      <c r="B20" s="16" t="s">
        <v>187</v>
      </c>
      <c r="C20" s="13" t="s">
        <v>11</v>
      </c>
      <c r="D20" s="25"/>
      <c r="E20" s="14">
        <v>3</v>
      </c>
      <c r="F20" s="31"/>
    </row>
    <row r="21" spans="1:6" ht="16.05" customHeight="1" x14ac:dyDescent="0.3">
      <c r="A21" s="11" t="s">
        <v>188</v>
      </c>
      <c r="B21" s="12" t="s">
        <v>189</v>
      </c>
      <c r="C21" s="13" t="s">
        <v>11</v>
      </c>
      <c r="D21" s="25"/>
      <c r="E21" s="14"/>
      <c r="F21" s="31"/>
    </row>
    <row r="22" spans="1:6" ht="16.05" customHeight="1" x14ac:dyDescent="0.3">
      <c r="A22" s="15" t="s">
        <v>190</v>
      </c>
      <c r="B22" s="16" t="s">
        <v>191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192</v>
      </c>
      <c r="B23" s="12" t="s">
        <v>193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194</v>
      </c>
      <c r="B24" s="16" t="s">
        <v>195</v>
      </c>
      <c r="C24" s="13"/>
      <c r="D24" s="25"/>
      <c r="E24" s="14"/>
      <c r="F24" s="31"/>
    </row>
    <row r="25" spans="1:6" ht="16.05" customHeight="1" x14ac:dyDescent="0.3">
      <c r="A25" s="11" t="s">
        <v>196</v>
      </c>
      <c r="B25" s="12" t="s">
        <v>18</v>
      </c>
      <c r="C25" s="13" t="s">
        <v>11</v>
      </c>
      <c r="D25" s="25"/>
      <c r="E25" s="14">
        <v>1</v>
      </c>
      <c r="F25" s="31"/>
    </row>
    <row r="26" spans="1:6" ht="16.05" customHeight="1" x14ac:dyDescent="0.3">
      <c r="A26" s="15" t="s">
        <v>197</v>
      </c>
      <c r="B26" s="16" t="s">
        <v>198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199</v>
      </c>
      <c r="B27" s="12" t="s">
        <v>200</v>
      </c>
      <c r="C27" s="13" t="s">
        <v>11</v>
      </c>
      <c r="D27" s="25"/>
      <c r="E27" s="14"/>
      <c r="F27" s="31"/>
    </row>
    <row r="28" spans="1:6" ht="16.05" customHeight="1" x14ac:dyDescent="0.3">
      <c r="A28" s="15" t="s">
        <v>201</v>
      </c>
      <c r="B28" s="16" t="s">
        <v>202</v>
      </c>
      <c r="C28" s="13"/>
      <c r="D28" s="25"/>
      <c r="E28" s="14"/>
      <c r="F28" s="31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>
      <pane ySplit="2" topLeftCell="A3" activePane="bottomLeft" state="frozen"/>
      <selection pane="bottomLeft" activeCell="D27" sqref="D2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6" t="s">
        <v>20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203</v>
      </c>
      <c r="B3" s="12" t="s">
        <v>204</v>
      </c>
      <c r="C3" s="13" t="s">
        <v>11</v>
      </c>
      <c r="D3" s="25"/>
      <c r="E3" s="14"/>
      <c r="F3" s="31"/>
    </row>
    <row r="4" spans="1:6" ht="16.05" customHeight="1" x14ac:dyDescent="0.3">
      <c r="A4" s="15" t="s">
        <v>205</v>
      </c>
      <c r="B4" s="16" t="s">
        <v>206</v>
      </c>
      <c r="C4" s="13" t="s">
        <v>11</v>
      </c>
      <c r="D4" s="25"/>
      <c r="E4" s="14">
        <v>3</v>
      </c>
      <c r="F4" s="31"/>
    </row>
    <row r="5" spans="1:6" ht="16.05" customHeight="1" x14ac:dyDescent="0.3">
      <c r="A5" s="11" t="s">
        <v>207</v>
      </c>
      <c r="B5" s="12" t="s">
        <v>23</v>
      </c>
      <c r="C5" s="13"/>
      <c r="D5" s="25" t="s">
        <v>11</v>
      </c>
      <c r="E5" s="14"/>
      <c r="F5" s="31"/>
    </row>
    <row r="6" spans="1:6" ht="16.05" customHeight="1" x14ac:dyDescent="0.3">
      <c r="A6" s="15" t="s">
        <v>208</v>
      </c>
      <c r="B6" s="16" t="s">
        <v>209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210</v>
      </c>
      <c r="B7" s="12" t="s">
        <v>211</v>
      </c>
      <c r="C7" s="13" t="s">
        <v>11</v>
      </c>
      <c r="D7" s="25"/>
      <c r="E7" s="14">
        <v>2</v>
      </c>
      <c r="F7" s="31"/>
    </row>
    <row r="8" spans="1:6" ht="16.05" customHeight="1" x14ac:dyDescent="0.3">
      <c r="A8" s="15" t="s">
        <v>212</v>
      </c>
      <c r="B8" s="16" t="s">
        <v>213</v>
      </c>
      <c r="C8" s="13"/>
      <c r="D8" s="25"/>
      <c r="E8" s="14">
        <v>1</v>
      </c>
      <c r="F8" s="31"/>
    </row>
    <row r="9" spans="1:6" ht="16.05" customHeight="1" x14ac:dyDescent="0.3">
      <c r="A9" s="11" t="s">
        <v>214</v>
      </c>
      <c r="B9" s="12" t="s">
        <v>215</v>
      </c>
      <c r="C9" s="13"/>
      <c r="D9" s="25"/>
      <c r="E9" s="14"/>
      <c r="F9" s="31"/>
    </row>
    <row r="10" spans="1:6" ht="16.05" customHeight="1" x14ac:dyDescent="0.3">
      <c r="A10" s="15" t="s">
        <v>216</v>
      </c>
      <c r="B10" s="16" t="s">
        <v>217</v>
      </c>
      <c r="C10" s="13" t="s">
        <v>11</v>
      </c>
      <c r="D10" s="25"/>
      <c r="E10" s="14"/>
      <c r="F10" s="31"/>
    </row>
    <row r="11" spans="1:6" ht="16.05" customHeight="1" x14ac:dyDescent="0.3">
      <c r="A11" s="11" t="s">
        <v>218</v>
      </c>
      <c r="B11" s="12" t="s">
        <v>219</v>
      </c>
      <c r="C11" s="13" t="s">
        <v>11</v>
      </c>
      <c r="D11" s="25"/>
      <c r="E11" s="14">
        <v>3</v>
      </c>
      <c r="F11" s="31">
        <v>1</v>
      </c>
    </row>
    <row r="12" spans="1:6" ht="16.05" customHeight="1" x14ac:dyDescent="0.3">
      <c r="A12" s="15" t="s">
        <v>220</v>
      </c>
      <c r="B12" s="16" t="s">
        <v>221</v>
      </c>
      <c r="C12" s="13" t="s">
        <v>11</v>
      </c>
      <c r="D12" s="25"/>
      <c r="E12" s="14">
        <v>1</v>
      </c>
      <c r="F12" s="31"/>
    </row>
    <row r="13" spans="1:6" ht="16.05" customHeight="1" x14ac:dyDescent="0.3">
      <c r="A13" s="11" t="s">
        <v>222</v>
      </c>
      <c r="B13" s="12" t="s">
        <v>223</v>
      </c>
      <c r="C13" s="13"/>
      <c r="D13" s="25" t="s">
        <v>11</v>
      </c>
      <c r="E13" s="14"/>
      <c r="F13" s="31"/>
    </row>
    <row r="14" spans="1:6" ht="16.05" customHeight="1" x14ac:dyDescent="0.3">
      <c r="A14" s="15" t="s">
        <v>224</v>
      </c>
      <c r="B14" s="16" t="s">
        <v>225</v>
      </c>
      <c r="C14" s="13" t="s">
        <v>11</v>
      </c>
      <c r="D14" s="25"/>
      <c r="E14" s="14">
        <v>1</v>
      </c>
      <c r="F14" s="31"/>
    </row>
    <row r="15" spans="1:6" ht="16.05" customHeight="1" x14ac:dyDescent="0.3">
      <c r="A15" s="11" t="s">
        <v>226</v>
      </c>
      <c r="B15" s="12" t="s">
        <v>227</v>
      </c>
      <c r="C15" s="13"/>
      <c r="D15" s="25"/>
      <c r="E15" s="14">
        <v>2</v>
      </c>
      <c r="F15" s="31"/>
    </row>
    <row r="16" spans="1:6" ht="16.05" customHeight="1" x14ac:dyDescent="0.3">
      <c r="A16" s="15" t="s">
        <v>228</v>
      </c>
      <c r="B16" s="16" t="s">
        <v>229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230</v>
      </c>
      <c r="B17" s="12" t="s">
        <v>231</v>
      </c>
      <c r="C17" s="13" t="s">
        <v>11</v>
      </c>
      <c r="D17" s="25"/>
      <c r="E17" s="14"/>
      <c r="F17" s="31"/>
    </row>
    <row r="18" spans="1:6" ht="16.05" customHeight="1" x14ac:dyDescent="0.3">
      <c r="A18" s="15" t="s">
        <v>232</v>
      </c>
      <c r="B18" s="16" t="s">
        <v>233</v>
      </c>
      <c r="C18" s="13"/>
      <c r="D18" s="25"/>
      <c r="E18" s="14"/>
      <c r="F18" s="31"/>
    </row>
    <row r="19" spans="1:6" ht="16.05" customHeight="1" x14ac:dyDescent="0.3">
      <c r="A19" s="11" t="s">
        <v>234</v>
      </c>
      <c r="B19" s="12" t="s">
        <v>235</v>
      </c>
      <c r="C19" s="13" t="s">
        <v>11</v>
      </c>
      <c r="D19" s="25"/>
      <c r="E19" s="14">
        <v>1</v>
      </c>
      <c r="F19" s="31"/>
    </row>
    <row r="20" spans="1:6" ht="16.05" customHeight="1" x14ac:dyDescent="0.3">
      <c r="A20" s="15" t="s">
        <v>236</v>
      </c>
      <c r="B20" s="16" t="s">
        <v>237</v>
      </c>
      <c r="C20" s="13" t="s">
        <v>11</v>
      </c>
      <c r="D20" s="25"/>
      <c r="E20" s="14">
        <v>1</v>
      </c>
      <c r="F20" s="31"/>
    </row>
    <row r="21" spans="1:6" ht="16.05" customHeight="1" x14ac:dyDescent="0.3">
      <c r="A21" s="11" t="s">
        <v>238</v>
      </c>
      <c r="B21" s="12" t="s">
        <v>239</v>
      </c>
      <c r="C21" s="13" t="s">
        <v>11</v>
      </c>
      <c r="D21" s="25"/>
      <c r="E21" s="14">
        <v>1</v>
      </c>
      <c r="F21" s="31"/>
    </row>
    <row r="22" spans="1:6" ht="16.05" customHeight="1" x14ac:dyDescent="0.3">
      <c r="A22" s="15" t="s">
        <v>240</v>
      </c>
      <c r="B22" s="16" t="s">
        <v>241</v>
      </c>
      <c r="C22" s="13" t="s">
        <v>11</v>
      </c>
      <c r="D22" s="25"/>
      <c r="E22" s="14">
        <v>2</v>
      </c>
      <c r="F22" s="31"/>
    </row>
    <row r="23" spans="1:6" ht="16.05" customHeight="1" x14ac:dyDescent="0.3">
      <c r="A23" s="11" t="s">
        <v>242</v>
      </c>
      <c r="B23" s="12" t="s">
        <v>23</v>
      </c>
      <c r="C23" s="13"/>
      <c r="D23" s="25" t="s">
        <v>11</v>
      </c>
      <c r="E23" s="14"/>
      <c r="F23" s="31"/>
    </row>
    <row r="24" spans="1:6" ht="16.05" customHeight="1" x14ac:dyDescent="0.3">
      <c r="A24" s="15" t="s">
        <v>243</v>
      </c>
      <c r="B24" s="16" t="s">
        <v>244</v>
      </c>
      <c r="C24" s="13" t="s">
        <v>11</v>
      </c>
      <c r="D24" s="25"/>
      <c r="E24" s="14"/>
      <c r="F24" s="31"/>
    </row>
    <row r="25" spans="1:6" ht="16.05" customHeight="1" x14ac:dyDescent="0.3">
      <c r="A25" s="11" t="s">
        <v>245</v>
      </c>
      <c r="B25" s="12" t="s">
        <v>22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246</v>
      </c>
      <c r="B26" s="16" t="s">
        <v>247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248</v>
      </c>
      <c r="B27" s="12" t="s">
        <v>249</v>
      </c>
      <c r="C27" s="13"/>
      <c r="D27" s="25" t="s">
        <v>11</v>
      </c>
      <c r="E27" s="14"/>
      <c r="F27" s="31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>
      <pane ySplit="2" topLeftCell="A3" activePane="bottomLeft" state="frozen"/>
      <selection pane="bottomLeft" activeCell="G22" sqref="G2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7" t="s">
        <v>24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250</v>
      </c>
      <c r="B3" s="12" t="s">
        <v>251</v>
      </c>
      <c r="C3" s="13" t="s">
        <v>11</v>
      </c>
      <c r="D3" s="25"/>
      <c r="E3" s="14"/>
      <c r="F3" s="31"/>
    </row>
    <row r="4" spans="1:6" ht="16.05" customHeight="1" x14ac:dyDescent="0.3">
      <c r="A4" s="15" t="s">
        <v>252</v>
      </c>
      <c r="B4" s="16" t="s">
        <v>253</v>
      </c>
      <c r="C4" s="13" t="s">
        <v>11</v>
      </c>
      <c r="D4" s="25"/>
      <c r="E4" s="14">
        <v>2</v>
      </c>
      <c r="F4" s="31"/>
    </row>
    <row r="5" spans="1:6" ht="16.05" customHeight="1" x14ac:dyDescent="0.3">
      <c r="A5" s="11" t="s">
        <v>254</v>
      </c>
      <c r="B5" s="12" t="s">
        <v>255</v>
      </c>
      <c r="C5" s="13" t="s">
        <v>11</v>
      </c>
      <c r="D5" s="25"/>
      <c r="E5" s="14"/>
      <c r="F5" s="31"/>
    </row>
    <row r="6" spans="1:6" ht="16.05" customHeight="1" x14ac:dyDescent="0.3">
      <c r="A6" s="15" t="s">
        <v>256</v>
      </c>
      <c r="B6" s="16" t="s">
        <v>257</v>
      </c>
      <c r="C6" s="13" t="s">
        <v>11</v>
      </c>
      <c r="D6" s="25"/>
      <c r="E6" s="14">
        <v>3</v>
      </c>
      <c r="F6" s="31"/>
    </row>
    <row r="7" spans="1:6" ht="16.05" customHeight="1" x14ac:dyDescent="0.3">
      <c r="A7" s="11" t="s">
        <v>258</v>
      </c>
      <c r="B7" s="12" t="s">
        <v>259</v>
      </c>
      <c r="C7" s="13" t="s">
        <v>11</v>
      </c>
      <c r="D7" s="25"/>
      <c r="E7" s="14">
        <v>1</v>
      </c>
      <c r="F7" s="31"/>
    </row>
    <row r="8" spans="1:6" ht="16.05" customHeight="1" x14ac:dyDescent="0.3">
      <c r="A8" s="15" t="s">
        <v>260</v>
      </c>
      <c r="B8" s="16" t="s">
        <v>261</v>
      </c>
      <c r="C8" s="13" t="s">
        <v>11</v>
      </c>
      <c r="D8" s="25"/>
      <c r="E8" s="14">
        <v>1</v>
      </c>
      <c r="F8" s="31"/>
    </row>
    <row r="9" spans="1:6" ht="16.05" customHeight="1" x14ac:dyDescent="0.3">
      <c r="A9" s="11" t="s">
        <v>262</v>
      </c>
      <c r="B9" s="12" t="s">
        <v>263</v>
      </c>
      <c r="C9" s="13" t="s">
        <v>11</v>
      </c>
      <c r="D9" s="25"/>
      <c r="E9" s="14">
        <v>1</v>
      </c>
      <c r="F9" s="31"/>
    </row>
    <row r="10" spans="1:6" ht="16.05" customHeight="1" x14ac:dyDescent="0.3">
      <c r="A10" s="15" t="s">
        <v>264</v>
      </c>
      <c r="B10" s="16" t="s">
        <v>265</v>
      </c>
      <c r="C10" s="13"/>
      <c r="D10" s="25"/>
      <c r="E10" s="14"/>
      <c r="F10" s="31"/>
    </row>
    <row r="11" spans="1:6" ht="16.05" customHeight="1" x14ac:dyDescent="0.3">
      <c r="A11" s="11" t="s">
        <v>266</v>
      </c>
      <c r="B11" s="12" t="s">
        <v>267</v>
      </c>
      <c r="C11" s="13" t="s">
        <v>11</v>
      </c>
      <c r="D11" s="25"/>
      <c r="E11" s="14">
        <v>1</v>
      </c>
      <c r="F11" s="31"/>
    </row>
    <row r="12" spans="1:6" ht="16.05" customHeight="1" x14ac:dyDescent="0.3">
      <c r="A12" s="15" t="s">
        <v>268</v>
      </c>
      <c r="B12" s="16" t="s">
        <v>269</v>
      </c>
      <c r="C12" s="13"/>
      <c r="D12" s="25" t="s">
        <v>11</v>
      </c>
      <c r="E12" s="14"/>
      <c r="F12" s="31"/>
    </row>
    <row r="13" spans="1:6" ht="16.05" customHeight="1" x14ac:dyDescent="0.3">
      <c r="A13" s="11" t="s">
        <v>270</v>
      </c>
      <c r="B13" s="12" t="s">
        <v>271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272</v>
      </c>
      <c r="B14" s="16" t="s">
        <v>273</v>
      </c>
      <c r="C14" s="13" t="s">
        <v>11</v>
      </c>
      <c r="D14" s="25"/>
      <c r="E14" s="14"/>
      <c r="F14" s="31"/>
    </row>
    <row r="15" spans="1:6" ht="16.05" customHeight="1" x14ac:dyDescent="0.3">
      <c r="A15" s="11" t="s">
        <v>274</v>
      </c>
      <c r="B15" s="12" t="s">
        <v>275</v>
      </c>
      <c r="C15" s="13" t="s">
        <v>11</v>
      </c>
      <c r="D15" s="25"/>
      <c r="E15" s="14"/>
      <c r="F15" s="31"/>
    </row>
    <row r="16" spans="1:6" ht="16.05" customHeight="1" x14ac:dyDescent="0.3">
      <c r="A16" s="15" t="s">
        <v>276</v>
      </c>
      <c r="B16" s="16" t="s">
        <v>277</v>
      </c>
      <c r="C16" s="13" t="s">
        <v>11</v>
      </c>
      <c r="D16" s="25"/>
      <c r="E16" s="14">
        <v>1</v>
      </c>
      <c r="F16" s="31">
        <v>1</v>
      </c>
    </row>
    <row r="17" spans="1:6" ht="16.05" customHeight="1" x14ac:dyDescent="0.3">
      <c r="A17" s="11" t="s">
        <v>278</v>
      </c>
      <c r="B17" s="12" t="s">
        <v>26</v>
      </c>
      <c r="C17" s="13"/>
      <c r="D17" s="25" t="s">
        <v>11</v>
      </c>
      <c r="E17" s="14"/>
      <c r="F17" s="31"/>
    </row>
    <row r="18" spans="1:6" ht="16.05" customHeight="1" x14ac:dyDescent="0.3">
      <c r="A18" s="15" t="s">
        <v>279</v>
      </c>
      <c r="B18" s="16" t="s">
        <v>280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281</v>
      </c>
      <c r="B19" s="12" t="s">
        <v>282</v>
      </c>
      <c r="C19" s="13"/>
      <c r="D19" s="25"/>
      <c r="E19" s="14"/>
      <c r="F19" s="31"/>
    </row>
    <row r="20" spans="1:6" ht="16.05" customHeight="1" x14ac:dyDescent="0.3">
      <c r="A20" s="15" t="s">
        <v>283</v>
      </c>
      <c r="B20" s="16" t="s">
        <v>27</v>
      </c>
      <c r="C20" s="13" t="s">
        <v>11</v>
      </c>
      <c r="D20" s="25"/>
      <c r="E20" s="14">
        <v>2</v>
      </c>
      <c r="F20" s="31"/>
    </row>
    <row r="21" spans="1:6" ht="16.05" customHeight="1" x14ac:dyDescent="0.3">
      <c r="A21" s="11" t="s">
        <v>284</v>
      </c>
      <c r="B21" s="12" t="s">
        <v>255</v>
      </c>
      <c r="C21" s="13" t="s">
        <v>11</v>
      </c>
      <c r="D21" s="25"/>
      <c r="E21" s="14"/>
      <c r="F21" s="31"/>
    </row>
    <row r="22" spans="1:6" ht="16.05" customHeight="1" x14ac:dyDescent="0.3">
      <c r="A22" s="15" t="s">
        <v>285</v>
      </c>
      <c r="B22" s="16" t="s">
        <v>286</v>
      </c>
      <c r="C22" s="13" t="s">
        <v>11</v>
      </c>
      <c r="D22" s="25"/>
      <c r="E22" s="14">
        <v>3</v>
      </c>
      <c r="F22" s="31"/>
    </row>
    <row r="23" spans="1:6" ht="16.05" customHeight="1" x14ac:dyDescent="0.3">
      <c r="A23" s="11" t="s">
        <v>287</v>
      </c>
      <c r="B23" s="12" t="s">
        <v>288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289</v>
      </c>
      <c r="B24" s="16" t="s">
        <v>290</v>
      </c>
      <c r="C24" s="13"/>
      <c r="D24" s="25"/>
      <c r="E24" s="14">
        <v>2</v>
      </c>
      <c r="F24" s="31">
        <v>1</v>
      </c>
    </row>
    <row r="25" spans="1:6" ht="16.05" customHeight="1" x14ac:dyDescent="0.3">
      <c r="A25" s="11" t="s">
        <v>291</v>
      </c>
      <c r="B25" s="12" t="s">
        <v>292</v>
      </c>
      <c r="C25" s="13" t="s">
        <v>11</v>
      </c>
      <c r="D25" s="25"/>
      <c r="E25" s="14">
        <v>3</v>
      </c>
      <c r="F25" s="31"/>
    </row>
    <row r="26" spans="1:6" ht="16.05" customHeight="1" x14ac:dyDescent="0.3">
      <c r="A26" s="15" t="s">
        <v>293</v>
      </c>
      <c r="B26" s="16" t="s">
        <v>294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295</v>
      </c>
      <c r="B27" s="12" t="s">
        <v>296</v>
      </c>
      <c r="C27" s="13"/>
      <c r="D27" s="25"/>
      <c r="E27" s="14"/>
      <c r="F27" s="31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workbookViewId="0">
      <pane ySplit="2" topLeftCell="A8" activePane="bottomLeft" state="frozen"/>
      <selection pane="bottomLeft" activeCell="E9" sqref="E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8" t="s">
        <v>28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297</v>
      </c>
      <c r="B3" s="12" t="s">
        <v>298</v>
      </c>
      <c r="C3" s="13"/>
      <c r="D3" s="25" t="s">
        <v>11</v>
      </c>
      <c r="E3" s="14"/>
      <c r="F3" s="31"/>
    </row>
    <row r="4" spans="1:6" ht="16.05" customHeight="1" x14ac:dyDescent="0.3">
      <c r="A4" s="15" t="s">
        <v>299</v>
      </c>
      <c r="B4" s="16" t="s">
        <v>300</v>
      </c>
      <c r="C4" s="13" t="s">
        <v>11</v>
      </c>
      <c r="D4" s="25"/>
      <c r="E4" s="14">
        <v>1</v>
      </c>
      <c r="F4" s="31"/>
    </row>
    <row r="5" spans="1:6" ht="16.05" customHeight="1" x14ac:dyDescent="0.3">
      <c r="A5" s="11" t="s">
        <v>301</v>
      </c>
      <c r="B5" s="12" t="s">
        <v>30</v>
      </c>
      <c r="C5" s="13"/>
      <c r="D5" s="25" t="s">
        <v>11</v>
      </c>
      <c r="E5" s="14"/>
      <c r="F5" s="31"/>
    </row>
    <row r="6" spans="1:6" ht="16.05" customHeight="1" x14ac:dyDescent="0.3">
      <c r="A6" s="15" t="s">
        <v>302</v>
      </c>
      <c r="B6" s="16" t="s">
        <v>303</v>
      </c>
      <c r="C6" s="13"/>
      <c r="D6" s="25" t="s">
        <v>11</v>
      </c>
      <c r="E6" s="14"/>
      <c r="F6" s="31"/>
    </row>
    <row r="7" spans="1:6" ht="16.05" customHeight="1" x14ac:dyDescent="0.3">
      <c r="A7" s="11" t="s">
        <v>304</v>
      </c>
      <c r="B7" s="12" t="s">
        <v>305</v>
      </c>
      <c r="C7" s="13" t="s">
        <v>11</v>
      </c>
      <c r="D7" s="25"/>
      <c r="E7" s="14">
        <v>1</v>
      </c>
      <c r="F7" s="31"/>
    </row>
    <row r="8" spans="1:6" ht="16.05" customHeight="1" x14ac:dyDescent="0.3">
      <c r="A8" s="15" t="s">
        <v>306</v>
      </c>
      <c r="B8" s="16" t="s">
        <v>307</v>
      </c>
      <c r="C8" s="13"/>
      <c r="D8" s="25"/>
      <c r="E8" s="14"/>
      <c r="F8" s="31"/>
    </row>
    <row r="9" spans="1:6" ht="16.05" customHeight="1" x14ac:dyDescent="0.3">
      <c r="A9" s="11" t="s">
        <v>308</v>
      </c>
      <c r="B9" s="12" t="s">
        <v>309</v>
      </c>
      <c r="C9" s="13" t="s">
        <v>11</v>
      </c>
      <c r="D9" s="25"/>
      <c r="E9" s="14">
        <v>3</v>
      </c>
      <c r="F9" s="31"/>
    </row>
    <row r="10" spans="1:6" ht="16.05" customHeight="1" x14ac:dyDescent="0.3">
      <c r="A10" s="15" t="s">
        <v>310</v>
      </c>
      <c r="B10" s="16" t="s">
        <v>311</v>
      </c>
      <c r="C10" s="13"/>
      <c r="D10" s="25"/>
      <c r="E10" s="14"/>
      <c r="F10" s="31"/>
    </row>
    <row r="11" spans="1:6" ht="16.05" customHeight="1" x14ac:dyDescent="0.3">
      <c r="A11" s="11" t="s">
        <v>312</v>
      </c>
      <c r="B11" s="12" t="s">
        <v>313</v>
      </c>
      <c r="C11" s="13" t="s">
        <v>11</v>
      </c>
      <c r="D11" s="25"/>
      <c r="E11" s="14"/>
      <c r="F11" s="31"/>
    </row>
    <row r="12" spans="1:6" ht="16.05" customHeight="1" x14ac:dyDescent="0.3">
      <c r="A12" s="15" t="s">
        <v>314</v>
      </c>
      <c r="B12" s="16" t="s">
        <v>315</v>
      </c>
      <c r="C12" s="13" t="s">
        <v>11</v>
      </c>
      <c r="D12" s="25"/>
      <c r="E12" s="14">
        <v>1</v>
      </c>
      <c r="F12" s="31"/>
    </row>
    <row r="13" spans="1:6" ht="16.05" customHeight="1" x14ac:dyDescent="0.3">
      <c r="A13" s="11" t="s">
        <v>316</v>
      </c>
      <c r="B13" s="12" t="s">
        <v>317</v>
      </c>
      <c r="C13" s="13"/>
      <c r="D13" s="25"/>
      <c r="E13" s="14"/>
      <c r="F13" s="31"/>
    </row>
    <row r="14" spans="1:6" ht="16.05" customHeight="1" x14ac:dyDescent="0.3">
      <c r="A14" s="15" t="s">
        <v>318</v>
      </c>
      <c r="B14" s="16" t="s">
        <v>319</v>
      </c>
      <c r="C14" s="13" t="s">
        <v>11</v>
      </c>
      <c r="D14" s="25"/>
      <c r="E14" s="14">
        <v>2</v>
      </c>
      <c r="F14" s="31"/>
    </row>
    <row r="15" spans="1:6" ht="16.05" customHeight="1" x14ac:dyDescent="0.3">
      <c r="A15" s="11" t="s">
        <v>320</v>
      </c>
      <c r="B15" s="12" t="s">
        <v>321</v>
      </c>
      <c r="C15" s="13" t="s">
        <v>11</v>
      </c>
      <c r="D15" s="25"/>
      <c r="E15" s="14"/>
      <c r="F15" s="31"/>
    </row>
    <row r="16" spans="1:6" ht="16.05" customHeight="1" x14ac:dyDescent="0.3">
      <c r="A16" s="15" t="s">
        <v>322</v>
      </c>
      <c r="B16" s="16" t="s">
        <v>323</v>
      </c>
      <c r="C16" s="13"/>
      <c r="D16" s="25"/>
      <c r="E16" s="14">
        <v>2</v>
      </c>
      <c r="F16" s="31"/>
    </row>
    <row r="17" spans="1:6" ht="16.05" customHeight="1" x14ac:dyDescent="0.3">
      <c r="A17" s="11" t="s">
        <v>324</v>
      </c>
      <c r="B17" s="12" t="s">
        <v>325</v>
      </c>
      <c r="C17" s="13" t="s">
        <v>11</v>
      </c>
      <c r="D17" s="25"/>
      <c r="E17" s="14"/>
      <c r="F17" s="31"/>
    </row>
    <row r="18" spans="1:6" ht="16.05" customHeight="1" x14ac:dyDescent="0.3">
      <c r="A18" s="15" t="s">
        <v>326</v>
      </c>
      <c r="B18" s="16" t="s">
        <v>30</v>
      </c>
      <c r="C18" s="13"/>
      <c r="D18" s="25" t="s">
        <v>11</v>
      </c>
      <c r="E18" s="14"/>
      <c r="F18" s="31"/>
    </row>
    <row r="19" spans="1:6" ht="16.05" customHeight="1" x14ac:dyDescent="0.3">
      <c r="A19" s="11" t="s">
        <v>327</v>
      </c>
      <c r="B19" s="12" t="s">
        <v>328</v>
      </c>
      <c r="C19" s="13"/>
      <c r="D19" s="25" t="s">
        <v>11</v>
      </c>
      <c r="E19" s="14"/>
      <c r="F19" s="31"/>
    </row>
    <row r="20" spans="1:6" ht="16.05" customHeight="1" x14ac:dyDescent="0.3">
      <c r="A20" s="15" t="s">
        <v>329</v>
      </c>
      <c r="B20" s="16" t="s">
        <v>330</v>
      </c>
      <c r="C20" s="13" t="s">
        <v>11</v>
      </c>
      <c r="D20" s="25"/>
      <c r="E20" s="14">
        <v>1</v>
      </c>
      <c r="F20" s="31"/>
    </row>
    <row r="21" spans="1:6" ht="16.05" customHeight="1" x14ac:dyDescent="0.3">
      <c r="A21" s="11" t="s">
        <v>331</v>
      </c>
      <c r="B21" s="12" t="s">
        <v>332</v>
      </c>
      <c r="C21" s="13" t="s">
        <v>11</v>
      </c>
      <c r="D21" s="25"/>
      <c r="E21" s="14">
        <v>1</v>
      </c>
      <c r="F21" s="31"/>
    </row>
    <row r="22" spans="1:6" ht="16.05" customHeight="1" x14ac:dyDescent="0.3">
      <c r="A22" s="15" t="s">
        <v>333</v>
      </c>
      <c r="B22" s="16" t="s">
        <v>334</v>
      </c>
      <c r="C22" s="13" t="s">
        <v>11</v>
      </c>
      <c r="D22" s="25"/>
      <c r="E22" s="14">
        <v>1</v>
      </c>
      <c r="F22" s="31"/>
    </row>
    <row r="23" spans="1:6" ht="16.05" customHeight="1" x14ac:dyDescent="0.3">
      <c r="A23" s="11" t="s">
        <v>335</v>
      </c>
      <c r="B23" s="12" t="s">
        <v>336</v>
      </c>
      <c r="C23" s="13" t="s">
        <v>11</v>
      </c>
      <c r="D23" s="25"/>
      <c r="E23" s="14">
        <v>1</v>
      </c>
      <c r="F23" s="31"/>
    </row>
    <row r="24" spans="1:6" ht="16.05" customHeight="1" x14ac:dyDescent="0.3">
      <c r="A24" s="15" t="s">
        <v>337</v>
      </c>
      <c r="B24" s="16" t="s">
        <v>338</v>
      </c>
      <c r="C24" s="13"/>
      <c r="D24" s="25"/>
      <c r="E24" s="14">
        <v>2</v>
      </c>
      <c r="F24" s="31"/>
    </row>
    <row r="25" spans="1:6" ht="16.05" customHeight="1" x14ac:dyDescent="0.3">
      <c r="A25" s="11" t="s">
        <v>339</v>
      </c>
      <c r="B25" s="12" t="s">
        <v>340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341</v>
      </c>
      <c r="B26" s="16" t="s">
        <v>342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343</v>
      </c>
      <c r="B27" s="12" t="s">
        <v>344</v>
      </c>
      <c r="C27" s="13"/>
      <c r="D27" s="25"/>
      <c r="E27" s="14">
        <v>1</v>
      </c>
      <c r="F27" s="31"/>
    </row>
    <row r="28" spans="1:6" ht="16.05" customHeight="1" x14ac:dyDescent="0.3">
      <c r="A28" s="15" t="s">
        <v>345</v>
      </c>
      <c r="B28" s="16" t="s">
        <v>346</v>
      </c>
      <c r="C28" s="13" t="s">
        <v>11</v>
      </c>
      <c r="D28" s="25"/>
      <c r="E28" s="14"/>
      <c r="F28" s="31"/>
    </row>
    <row r="29" spans="1:6" ht="16.05" customHeight="1" x14ac:dyDescent="0.3">
      <c r="A29" s="11" t="s">
        <v>347</v>
      </c>
      <c r="B29" s="12" t="s">
        <v>348</v>
      </c>
      <c r="C29" s="13" t="s">
        <v>11</v>
      </c>
      <c r="D29" s="25"/>
      <c r="E29" s="14"/>
      <c r="F29" s="31"/>
    </row>
    <row r="30" spans="1:6" ht="16.05" customHeight="1" x14ac:dyDescent="0.3">
      <c r="A30" s="15" t="s">
        <v>349</v>
      </c>
      <c r="B30" s="16" t="s">
        <v>350</v>
      </c>
      <c r="C30" s="13"/>
      <c r="D30" s="25"/>
      <c r="E30" s="14"/>
      <c r="F30" s="31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workbookViewId="0">
      <pane ySplit="2" topLeftCell="A8" activePane="bottomLeft" state="frozen"/>
      <selection pane="bottomLeft" activeCell="E18" sqref="E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9" t="s">
        <v>32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351</v>
      </c>
      <c r="B3" s="12" t="s">
        <v>352</v>
      </c>
      <c r="C3" s="13" t="s">
        <v>11</v>
      </c>
      <c r="D3" s="25"/>
      <c r="E3" s="14">
        <v>3</v>
      </c>
      <c r="F3" s="31"/>
    </row>
    <row r="4" spans="1:6" ht="16.05" customHeight="1" x14ac:dyDescent="0.3">
      <c r="A4" s="15" t="s">
        <v>353</v>
      </c>
      <c r="B4" s="16" t="s">
        <v>354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355</v>
      </c>
      <c r="B5" s="12" t="s">
        <v>34</v>
      </c>
      <c r="C5" s="13"/>
      <c r="D5" s="25" t="s">
        <v>11</v>
      </c>
      <c r="E5" s="14"/>
      <c r="F5" s="31"/>
    </row>
    <row r="6" spans="1:6" ht="16.05" customHeight="1" x14ac:dyDescent="0.3">
      <c r="A6" s="15" t="s">
        <v>356</v>
      </c>
      <c r="B6" s="16" t="s">
        <v>357</v>
      </c>
      <c r="C6" s="13"/>
      <c r="D6" s="25" t="s">
        <v>11</v>
      </c>
      <c r="E6" s="14"/>
      <c r="F6" s="31"/>
    </row>
    <row r="7" spans="1:6" ht="16.05" customHeight="1" x14ac:dyDescent="0.3">
      <c r="A7" s="11" t="s">
        <v>358</v>
      </c>
      <c r="B7" s="12" t="s">
        <v>34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359</v>
      </c>
      <c r="B8" s="16" t="s">
        <v>360</v>
      </c>
      <c r="C8" s="13" t="s">
        <v>11</v>
      </c>
      <c r="D8" s="25"/>
      <c r="E8" s="14"/>
      <c r="F8" s="31"/>
    </row>
    <row r="9" spans="1:6" ht="16.05" customHeight="1" x14ac:dyDescent="0.3">
      <c r="A9" s="11" t="s">
        <v>361</v>
      </c>
      <c r="B9" s="12" t="s">
        <v>362</v>
      </c>
      <c r="C9" s="13" t="s">
        <v>11</v>
      </c>
      <c r="D9" s="25"/>
      <c r="E9" s="14"/>
      <c r="F9" s="31"/>
    </row>
    <row r="10" spans="1:6" ht="16.05" customHeight="1" x14ac:dyDescent="0.3">
      <c r="A10" s="15" t="s">
        <v>363</v>
      </c>
      <c r="B10" s="16" t="s">
        <v>364</v>
      </c>
      <c r="C10" s="13"/>
      <c r="D10" s="25"/>
      <c r="E10" s="14">
        <v>1</v>
      </c>
      <c r="F10" s="31"/>
    </row>
    <row r="11" spans="1:6" ht="16.05" customHeight="1" x14ac:dyDescent="0.3">
      <c r="A11" s="11" t="s">
        <v>365</v>
      </c>
      <c r="B11" s="12" t="s">
        <v>366</v>
      </c>
      <c r="C11" s="13"/>
      <c r="D11" s="25"/>
      <c r="E11" s="14">
        <v>1</v>
      </c>
      <c r="F11" s="31"/>
    </row>
    <row r="12" spans="1:6" ht="16.05" customHeight="1" x14ac:dyDescent="0.3">
      <c r="A12" s="15" t="s">
        <v>367</v>
      </c>
      <c r="B12" s="16" t="s">
        <v>368</v>
      </c>
      <c r="C12" s="13"/>
      <c r="D12" s="25" t="s">
        <v>11</v>
      </c>
      <c r="E12" s="14"/>
      <c r="F12" s="31"/>
    </row>
    <row r="13" spans="1:6" ht="16.05" customHeight="1" x14ac:dyDescent="0.3">
      <c r="A13" s="11" t="s">
        <v>369</v>
      </c>
      <c r="B13" s="12" t="s">
        <v>370</v>
      </c>
      <c r="C13" s="13" t="s">
        <v>11</v>
      </c>
      <c r="D13" s="25"/>
      <c r="E13" s="14">
        <v>2</v>
      </c>
      <c r="F13" s="31"/>
    </row>
    <row r="14" spans="1:6" ht="16.05" customHeight="1" x14ac:dyDescent="0.3">
      <c r="A14" s="15" t="s">
        <v>371</v>
      </c>
      <c r="B14" s="16" t="s">
        <v>372</v>
      </c>
      <c r="C14" s="13" t="s">
        <v>11</v>
      </c>
      <c r="D14" s="25"/>
      <c r="E14" s="14"/>
      <c r="F14" s="31"/>
    </row>
    <row r="15" spans="1:6" ht="16.05" customHeight="1" x14ac:dyDescent="0.3">
      <c r="A15" s="11" t="s">
        <v>373</v>
      </c>
      <c r="B15" s="12" t="s">
        <v>374</v>
      </c>
      <c r="C15" s="13" t="s">
        <v>11</v>
      </c>
      <c r="D15" s="25"/>
      <c r="E15" s="14"/>
      <c r="F15" s="31"/>
    </row>
    <row r="16" spans="1:6" ht="16.05" customHeight="1" x14ac:dyDescent="0.3">
      <c r="A16" s="15" t="s">
        <v>375</v>
      </c>
      <c r="B16" s="16" t="s">
        <v>376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377</v>
      </c>
      <c r="B17" s="12" t="s">
        <v>378</v>
      </c>
      <c r="C17" s="13" t="s">
        <v>11</v>
      </c>
      <c r="D17" s="25"/>
      <c r="E17" s="14"/>
      <c r="F17" s="31"/>
    </row>
    <row r="18" spans="1:6" ht="16.05" customHeight="1" x14ac:dyDescent="0.3">
      <c r="A18" s="15" t="s">
        <v>379</v>
      </c>
      <c r="B18" s="16" t="s">
        <v>380</v>
      </c>
      <c r="C18" s="13"/>
      <c r="D18" s="25"/>
      <c r="E18" s="14">
        <v>1</v>
      </c>
      <c r="F18" s="31"/>
    </row>
    <row r="19" spans="1:6" ht="16.05" customHeight="1" x14ac:dyDescent="0.3">
      <c r="A19" s="11" t="s">
        <v>381</v>
      </c>
      <c r="B19" s="12" t="s">
        <v>382</v>
      </c>
      <c r="C19" s="13" t="s">
        <v>11</v>
      </c>
      <c r="D19" s="25"/>
      <c r="E19" s="14">
        <v>2</v>
      </c>
      <c r="F19" s="31"/>
    </row>
    <row r="20" spans="1:6" ht="16.05" customHeight="1" x14ac:dyDescent="0.3">
      <c r="A20" s="15" t="s">
        <v>383</v>
      </c>
      <c r="B20" s="16" t="s">
        <v>384</v>
      </c>
      <c r="C20" s="13"/>
      <c r="D20" s="25"/>
      <c r="E20" s="14">
        <v>1</v>
      </c>
      <c r="F20" s="31"/>
    </row>
    <row r="21" spans="1:6" ht="16.05" customHeight="1" x14ac:dyDescent="0.3">
      <c r="A21" s="11" t="s">
        <v>385</v>
      </c>
      <c r="B21" s="12" t="s">
        <v>386</v>
      </c>
      <c r="C21" s="13" t="s">
        <v>11</v>
      </c>
      <c r="D21" s="25"/>
      <c r="E21" s="14"/>
      <c r="F21" s="31"/>
    </row>
    <row r="22" spans="1:6" ht="16.05" customHeight="1" x14ac:dyDescent="0.3">
      <c r="A22" s="15" t="s">
        <v>387</v>
      </c>
      <c r="B22" s="16" t="s">
        <v>35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388</v>
      </c>
      <c r="B23" s="12" t="s">
        <v>389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390</v>
      </c>
      <c r="B24" s="16" t="s">
        <v>391</v>
      </c>
      <c r="C24" s="13" t="s">
        <v>11</v>
      </c>
      <c r="D24" s="25"/>
      <c r="E24" s="14">
        <v>1</v>
      </c>
      <c r="F24" s="31"/>
    </row>
    <row r="25" spans="1:6" ht="16.05" customHeight="1" x14ac:dyDescent="0.3">
      <c r="A25" s="11" t="s">
        <v>392</v>
      </c>
      <c r="B25" s="12" t="s">
        <v>393</v>
      </c>
      <c r="C25" s="13"/>
      <c r="D25" s="25"/>
      <c r="E25" s="14">
        <v>1</v>
      </c>
      <c r="F25" s="31"/>
    </row>
    <row r="26" spans="1:6" ht="16.05" customHeight="1" x14ac:dyDescent="0.3">
      <c r="A26" s="15" t="s">
        <v>394</v>
      </c>
      <c r="B26" s="16" t="s">
        <v>395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396</v>
      </c>
      <c r="B27" s="12" t="s">
        <v>397</v>
      </c>
      <c r="C27" s="13" t="s">
        <v>11</v>
      </c>
      <c r="D27" s="25"/>
      <c r="E27" s="14"/>
      <c r="F27" s="31"/>
    </row>
    <row r="28" spans="1:6" ht="16.05" customHeight="1" x14ac:dyDescent="0.3">
      <c r="A28" s="15" t="s">
        <v>398</v>
      </c>
      <c r="B28" s="16" t="s">
        <v>399</v>
      </c>
      <c r="C28" s="13"/>
      <c r="D28" s="25"/>
      <c r="E28" s="14"/>
      <c r="F28" s="31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>
      <pane ySplit="2" topLeftCell="A5" activePane="bottomLeft" state="frozen"/>
      <selection pane="bottomLeft" activeCell="D18" sqref="D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0" t="s">
        <v>36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400</v>
      </c>
      <c r="B3" s="12" t="s">
        <v>401</v>
      </c>
      <c r="C3" s="13" t="s">
        <v>11</v>
      </c>
      <c r="D3" s="25"/>
      <c r="E3" s="14"/>
      <c r="F3" s="31"/>
    </row>
    <row r="4" spans="1:6" ht="16.05" customHeight="1" x14ac:dyDescent="0.3">
      <c r="A4" s="15" t="s">
        <v>402</v>
      </c>
      <c r="B4" s="16" t="s">
        <v>403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404</v>
      </c>
      <c r="B5" s="12" t="s">
        <v>38</v>
      </c>
      <c r="C5" s="13" t="s">
        <v>11</v>
      </c>
      <c r="D5" s="25"/>
      <c r="E5" s="14">
        <v>3</v>
      </c>
      <c r="F5" s="31"/>
    </row>
    <row r="6" spans="1:6" ht="16.05" customHeight="1" x14ac:dyDescent="0.3">
      <c r="A6" s="15" t="s">
        <v>405</v>
      </c>
      <c r="B6" s="16" t="s">
        <v>406</v>
      </c>
      <c r="C6" s="13" t="s">
        <v>11</v>
      </c>
      <c r="D6" s="25"/>
      <c r="E6" s="14"/>
      <c r="F6" s="31"/>
    </row>
    <row r="7" spans="1:6" ht="16.05" customHeight="1" x14ac:dyDescent="0.3">
      <c r="A7" s="11" t="s">
        <v>407</v>
      </c>
      <c r="B7" s="12" t="s">
        <v>408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409</v>
      </c>
      <c r="B8" s="16" t="s">
        <v>410</v>
      </c>
      <c r="C8" s="13"/>
      <c r="D8" s="25"/>
      <c r="E8" s="14">
        <v>1</v>
      </c>
      <c r="F8" s="31"/>
    </row>
    <row r="9" spans="1:6" ht="16.05" customHeight="1" x14ac:dyDescent="0.3">
      <c r="A9" s="11" t="s">
        <v>411</v>
      </c>
      <c r="B9" s="12" t="s">
        <v>412</v>
      </c>
      <c r="C9" s="13" t="s">
        <v>11</v>
      </c>
      <c r="D9" s="25"/>
      <c r="E9" s="14">
        <v>3</v>
      </c>
      <c r="F9" s="31"/>
    </row>
    <row r="10" spans="1:6" ht="16.05" customHeight="1" x14ac:dyDescent="0.3">
      <c r="A10" s="15" t="s">
        <v>413</v>
      </c>
      <c r="B10" s="16" t="s">
        <v>414</v>
      </c>
      <c r="C10" s="13" t="s">
        <v>11</v>
      </c>
      <c r="D10" s="25"/>
      <c r="E10" s="14">
        <v>3</v>
      </c>
      <c r="F10" s="31"/>
    </row>
    <row r="11" spans="1:6" ht="16.05" customHeight="1" x14ac:dyDescent="0.3">
      <c r="A11" s="11" t="s">
        <v>415</v>
      </c>
      <c r="B11" s="12" t="s">
        <v>416</v>
      </c>
      <c r="C11" s="13"/>
      <c r="D11" s="25"/>
      <c r="E11" s="14">
        <v>1</v>
      </c>
      <c r="F11" s="31"/>
    </row>
    <row r="12" spans="1:6" ht="16.05" customHeight="1" x14ac:dyDescent="0.3">
      <c r="A12" s="15" t="s">
        <v>417</v>
      </c>
      <c r="B12" s="16" t="s">
        <v>418</v>
      </c>
      <c r="C12" s="13" t="s">
        <v>11</v>
      </c>
      <c r="D12" s="25"/>
      <c r="E12" s="14">
        <v>1</v>
      </c>
      <c r="F12" s="31"/>
    </row>
    <row r="13" spans="1:6" ht="16.05" customHeight="1" x14ac:dyDescent="0.3">
      <c r="A13" s="11" t="s">
        <v>419</v>
      </c>
      <c r="B13" s="12" t="s">
        <v>269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420</v>
      </c>
      <c r="B14" s="16" t="s">
        <v>421</v>
      </c>
      <c r="C14" s="13" t="s">
        <v>11</v>
      </c>
      <c r="D14" s="25"/>
      <c r="E14" s="14"/>
      <c r="F14" s="31"/>
    </row>
    <row r="15" spans="1:6" ht="16.05" customHeight="1" x14ac:dyDescent="0.3">
      <c r="A15" s="11" t="s">
        <v>422</v>
      </c>
      <c r="B15" s="12" t="s">
        <v>423</v>
      </c>
      <c r="C15" s="13"/>
      <c r="D15" s="25"/>
      <c r="E15" s="14">
        <v>1</v>
      </c>
      <c r="F15" s="31"/>
    </row>
    <row r="16" spans="1:6" ht="16.05" customHeight="1" x14ac:dyDescent="0.3">
      <c r="A16" s="15" t="s">
        <v>424</v>
      </c>
      <c r="B16" s="16" t="s">
        <v>425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426</v>
      </c>
      <c r="B17" s="12" t="s">
        <v>427</v>
      </c>
      <c r="C17" s="13" t="s">
        <v>11</v>
      </c>
      <c r="D17" s="25"/>
      <c r="E17" s="14">
        <v>2</v>
      </c>
      <c r="F17" s="31"/>
    </row>
    <row r="18" spans="1:6" ht="16.05" customHeight="1" x14ac:dyDescent="0.3">
      <c r="A18" s="15" t="s">
        <v>428</v>
      </c>
      <c r="B18" s="16" t="s">
        <v>39</v>
      </c>
      <c r="C18" s="13"/>
      <c r="D18" s="25" t="s">
        <v>11</v>
      </c>
      <c r="E18" s="14"/>
      <c r="F18" s="31"/>
    </row>
    <row r="19" spans="1:6" ht="16.05" customHeight="1" x14ac:dyDescent="0.3">
      <c r="A19" s="11" t="s">
        <v>429</v>
      </c>
      <c r="B19" s="12" t="s">
        <v>430</v>
      </c>
      <c r="C19" s="13" t="s">
        <v>11</v>
      </c>
      <c r="D19" s="25"/>
      <c r="E19" s="14">
        <v>2</v>
      </c>
      <c r="F19" s="31"/>
    </row>
    <row r="20" spans="1:6" ht="16.05" customHeight="1" x14ac:dyDescent="0.3">
      <c r="A20" s="15" t="s">
        <v>431</v>
      </c>
      <c r="B20" s="16" t="s">
        <v>432</v>
      </c>
      <c r="C20" s="13" t="s">
        <v>11</v>
      </c>
      <c r="D20" s="25"/>
      <c r="E20" s="14"/>
      <c r="F20" s="31"/>
    </row>
    <row r="21" spans="1:6" ht="16.05" customHeight="1" x14ac:dyDescent="0.3">
      <c r="A21" s="11" t="s">
        <v>433</v>
      </c>
      <c r="B21" s="12" t="s">
        <v>434</v>
      </c>
      <c r="C21" s="13" t="s">
        <v>11</v>
      </c>
      <c r="D21" s="25"/>
      <c r="E21" s="14">
        <v>2</v>
      </c>
      <c r="F21" s="31"/>
    </row>
    <row r="22" spans="1:6" ht="16.05" customHeight="1" x14ac:dyDescent="0.3">
      <c r="A22" s="15" t="s">
        <v>435</v>
      </c>
      <c r="B22" s="16" t="s">
        <v>436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437</v>
      </c>
      <c r="B23" s="12" t="s">
        <v>438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439</v>
      </c>
      <c r="B24" s="16" t="s">
        <v>38</v>
      </c>
      <c r="C24" s="13" t="s">
        <v>11</v>
      </c>
      <c r="D24" s="25"/>
      <c r="E24" s="14">
        <v>1</v>
      </c>
      <c r="F24" s="31"/>
    </row>
    <row r="25" spans="1:6" ht="16.05" customHeight="1" x14ac:dyDescent="0.3">
      <c r="A25" s="11" t="s">
        <v>440</v>
      </c>
      <c r="B25" s="12" t="s">
        <v>441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442</v>
      </c>
      <c r="B26" s="16" t="s">
        <v>443</v>
      </c>
      <c r="C26" s="13"/>
      <c r="D26" s="25"/>
      <c r="E26" s="14"/>
      <c r="F26" s="31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"/>
  <sheetViews>
    <sheetView workbookViewId="0">
      <pane ySplit="2" topLeftCell="A8" activePane="bottomLeft" state="frozen"/>
      <selection pane="bottomLeft" activeCell="E15" sqref="E1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1" t="s">
        <v>40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444</v>
      </c>
      <c r="B3" s="12" t="s">
        <v>445</v>
      </c>
      <c r="C3" s="13" t="s">
        <v>11</v>
      </c>
      <c r="D3" s="25"/>
      <c r="E3" s="14"/>
      <c r="F3" s="31"/>
    </row>
    <row r="4" spans="1:6" ht="16.05" customHeight="1" x14ac:dyDescent="0.3">
      <c r="A4" s="15" t="s">
        <v>446</v>
      </c>
      <c r="B4" s="16" t="s">
        <v>447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448</v>
      </c>
      <c r="B5" s="12" t="s">
        <v>449</v>
      </c>
      <c r="C5" s="13" t="s">
        <v>11</v>
      </c>
      <c r="D5" s="25"/>
      <c r="E5" s="14">
        <v>1</v>
      </c>
      <c r="F5" s="31">
        <v>1</v>
      </c>
    </row>
    <row r="6" spans="1:6" ht="16.05" customHeight="1" x14ac:dyDescent="0.3">
      <c r="A6" s="15" t="s">
        <v>450</v>
      </c>
      <c r="B6" s="16" t="s">
        <v>451</v>
      </c>
      <c r="C6" s="13" t="s">
        <v>11</v>
      </c>
      <c r="D6" s="25"/>
      <c r="E6" s="14"/>
      <c r="F6" s="31"/>
    </row>
    <row r="7" spans="1:6" ht="16.05" customHeight="1" x14ac:dyDescent="0.3">
      <c r="A7" s="11" t="s">
        <v>452</v>
      </c>
      <c r="B7" s="12" t="s">
        <v>42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453</v>
      </c>
      <c r="B8" s="16" t="s">
        <v>454</v>
      </c>
      <c r="C8" s="13" t="s">
        <v>11</v>
      </c>
      <c r="D8" s="25"/>
      <c r="E8" s="14">
        <v>2</v>
      </c>
      <c r="F8" s="31"/>
    </row>
    <row r="9" spans="1:6" ht="16.05" customHeight="1" x14ac:dyDescent="0.3">
      <c r="A9" s="11" t="s">
        <v>455</v>
      </c>
      <c r="B9" s="12" t="s">
        <v>456</v>
      </c>
      <c r="C9" s="13" t="s">
        <v>11</v>
      </c>
      <c r="D9" s="25"/>
      <c r="E9" s="14"/>
      <c r="F9" s="31"/>
    </row>
    <row r="10" spans="1:6" ht="16.05" customHeight="1" x14ac:dyDescent="0.3">
      <c r="A10" s="15" t="s">
        <v>457</v>
      </c>
      <c r="B10" s="16" t="s">
        <v>458</v>
      </c>
      <c r="C10" s="13"/>
      <c r="D10" s="25"/>
      <c r="E10" s="14">
        <v>2</v>
      </c>
      <c r="F10" s="31"/>
    </row>
    <row r="11" spans="1:6" ht="16.05" customHeight="1" x14ac:dyDescent="0.3">
      <c r="A11" s="11" t="s">
        <v>459</v>
      </c>
      <c r="B11" s="12" t="s">
        <v>460</v>
      </c>
      <c r="C11" s="13"/>
      <c r="D11" s="25"/>
      <c r="E11" s="14">
        <v>1</v>
      </c>
      <c r="F11" s="31"/>
    </row>
    <row r="12" spans="1:6" ht="16.05" customHeight="1" x14ac:dyDescent="0.3">
      <c r="A12" s="15" t="s">
        <v>461</v>
      </c>
      <c r="B12" s="16" t="s">
        <v>462</v>
      </c>
      <c r="C12" s="13" t="s">
        <v>11</v>
      </c>
      <c r="D12" s="25"/>
      <c r="E12" s="14">
        <v>1</v>
      </c>
      <c r="F12" s="31"/>
    </row>
    <row r="13" spans="1:6" ht="16.05" customHeight="1" x14ac:dyDescent="0.3">
      <c r="A13" s="11" t="s">
        <v>463</v>
      </c>
      <c r="B13" s="12" t="s">
        <v>464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465</v>
      </c>
      <c r="B14" s="16" t="s">
        <v>466</v>
      </c>
      <c r="C14" s="13" t="s">
        <v>11</v>
      </c>
      <c r="D14" s="25"/>
      <c r="E14" s="14">
        <v>1</v>
      </c>
      <c r="F14" s="31"/>
    </row>
    <row r="15" spans="1:6" ht="16.05" customHeight="1" x14ac:dyDescent="0.3">
      <c r="A15" s="11" t="s">
        <v>467</v>
      </c>
      <c r="B15" s="12" t="s">
        <v>468</v>
      </c>
      <c r="C15" s="13" t="s">
        <v>11</v>
      </c>
      <c r="D15" s="25"/>
      <c r="E15" s="14">
        <v>1</v>
      </c>
      <c r="F15" s="31"/>
    </row>
    <row r="16" spans="1:6" ht="16.05" customHeight="1" x14ac:dyDescent="0.3">
      <c r="A16" s="15" t="s">
        <v>469</v>
      </c>
      <c r="B16" s="16" t="s">
        <v>470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471</v>
      </c>
      <c r="B17" s="12" t="s">
        <v>472</v>
      </c>
      <c r="C17" s="13"/>
      <c r="D17" s="25"/>
      <c r="E17" s="14">
        <v>2</v>
      </c>
      <c r="F17" s="31"/>
    </row>
    <row r="18" spans="1:6" ht="16.05" customHeight="1" x14ac:dyDescent="0.3">
      <c r="A18" s="15" t="s">
        <v>473</v>
      </c>
      <c r="B18" s="16" t="s">
        <v>474</v>
      </c>
      <c r="C18" s="13"/>
      <c r="D18" s="25" t="s">
        <v>11</v>
      </c>
      <c r="E18" s="14"/>
      <c r="F18" s="31"/>
    </row>
    <row r="19" spans="1:6" ht="16.05" customHeight="1" x14ac:dyDescent="0.3">
      <c r="A19" s="11" t="s">
        <v>475</v>
      </c>
      <c r="B19" s="12" t="s">
        <v>449</v>
      </c>
      <c r="C19" s="13" t="s">
        <v>11</v>
      </c>
      <c r="D19" s="25"/>
      <c r="E19" s="14">
        <v>2</v>
      </c>
      <c r="F19" s="31"/>
    </row>
    <row r="20" spans="1:6" ht="16.05" customHeight="1" x14ac:dyDescent="0.3">
      <c r="A20" s="15" t="s">
        <v>476</v>
      </c>
      <c r="B20" s="16" t="s">
        <v>43</v>
      </c>
      <c r="C20" s="13" t="s">
        <v>11</v>
      </c>
      <c r="D20" s="25"/>
      <c r="E20" s="14">
        <v>1</v>
      </c>
      <c r="F20" s="31"/>
    </row>
    <row r="21" spans="1:6" ht="16.05" customHeight="1" x14ac:dyDescent="0.3">
      <c r="A21" s="11" t="s">
        <v>477</v>
      </c>
      <c r="B21" s="12" t="s">
        <v>478</v>
      </c>
      <c r="C21" s="13"/>
      <c r="D21" s="25" t="s">
        <v>11</v>
      </c>
      <c r="E21" s="14"/>
      <c r="F21" s="31"/>
    </row>
    <row r="22" spans="1:6" ht="16.05" customHeight="1" x14ac:dyDescent="0.3">
      <c r="A22" s="15" t="s">
        <v>479</v>
      </c>
      <c r="B22" s="16" t="s">
        <v>480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481</v>
      </c>
      <c r="B23" s="12" t="s">
        <v>482</v>
      </c>
      <c r="C23" s="13" t="s">
        <v>11</v>
      </c>
      <c r="D23" s="25"/>
      <c r="E23" s="14">
        <v>2</v>
      </c>
      <c r="F23" s="31"/>
    </row>
    <row r="24" spans="1:6" ht="16.05" customHeight="1" x14ac:dyDescent="0.3">
      <c r="A24" s="15" t="s">
        <v>483</v>
      </c>
      <c r="B24" s="16" t="s">
        <v>484</v>
      </c>
      <c r="C24" s="13"/>
      <c r="D24" s="25"/>
      <c r="E24" s="14"/>
      <c r="F24" s="31"/>
    </row>
    <row r="25" spans="1:6" ht="16.05" customHeight="1" x14ac:dyDescent="0.3">
      <c r="A25" s="11" t="s">
        <v>485</v>
      </c>
      <c r="B25" s="12" t="s">
        <v>486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487</v>
      </c>
      <c r="B26" s="16" t="s">
        <v>488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489</v>
      </c>
      <c r="B27" s="12" t="s">
        <v>490</v>
      </c>
      <c r="C27" s="13"/>
      <c r="D27" s="25" t="s">
        <v>11</v>
      </c>
      <c r="E27" s="14"/>
      <c r="F27" s="31"/>
    </row>
    <row r="28" spans="1:6" ht="16.05" customHeight="1" x14ac:dyDescent="0.3">
      <c r="A28" s="15" t="s">
        <v>491</v>
      </c>
      <c r="B28" s="16" t="s">
        <v>492</v>
      </c>
      <c r="C28" s="13"/>
      <c r="D28" s="25"/>
      <c r="E28" s="14"/>
      <c r="F28" s="31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>
      <pane ySplit="2" topLeftCell="A8" activePane="bottomLeft" state="frozen"/>
      <selection pane="bottomLeft" activeCell="E26" sqref="E2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2" t="s">
        <v>44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493</v>
      </c>
      <c r="B3" s="12" t="s">
        <v>494</v>
      </c>
      <c r="C3" s="13" t="s">
        <v>11</v>
      </c>
      <c r="D3" s="25"/>
      <c r="E3" s="14">
        <v>1</v>
      </c>
      <c r="F3" s="31"/>
    </row>
    <row r="4" spans="1:6" ht="16.05" customHeight="1" x14ac:dyDescent="0.3">
      <c r="A4" s="15" t="s">
        <v>495</v>
      </c>
      <c r="B4" s="16" t="s">
        <v>496</v>
      </c>
      <c r="C4" s="13" t="s">
        <v>11</v>
      </c>
      <c r="D4" s="25"/>
      <c r="E4" s="14">
        <v>2</v>
      </c>
      <c r="F4" s="31"/>
    </row>
    <row r="5" spans="1:6" ht="16.05" customHeight="1" x14ac:dyDescent="0.3">
      <c r="A5" s="11" t="s">
        <v>497</v>
      </c>
      <c r="B5" s="12" t="s">
        <v>46</v>
      </c>
      <c r="C5" s="13" t="s">
        <v>11</v>
      </c>
      <c r="D5" s="25"/>
      <c r="E5" s="14">
        <v>2</v>
      </c>
      <c r="F5" s="31"/>
    </row>
    <row r="6" spans="1:6" ht="16.05" customHeight="1" x14ac:dyDescent="0.3">
      <c r="A6" s="15" t="s">
        <v>498</v>
      </c>
      <c r="B6" s="16" t="s">
        <v>499</v>
      </c>
      <c r="C6" s="13" t="s">
        <v>11</v>
      </c>
      <c r="D6" s="25"/>
      <c r="E6" s="14"/>
      <c r="F6" s="31"/>
    </row>
    <row r="7" spans="1:6" ht="16.05" customHeight="1" x14ac:dyDescent="0.3">
      <c r="A7" s="11" t="s">
        <v>500</v>
      </c>
      <c r="B7" s="12" t="s">
        <v>501</v>
      </c>
      <c r="C7" s="13" t="s">
        <v>11</v>
      </c>
      <c r="D7" s="25"/>
      <c r="E7" s="14">
        <v>1</v>
      </c>
      <c r="F7" s="31"/>
    </row>
    <row r="8" spans="1:6" ht="16.05" customHeight="1" x14ac:dyDescent="0.3">
      <c r="A8" s="15" t="s">
        <v>502</v>
      </c>
      <c r="B8" s="16" t="s">
        <v>503</v>
      </c>
      <c r="C8" s="13" t="s">
        <v>11</v>
      </c>
      <c r="D8" s="25"/>
      <c r="E8" s="14"/>
      <c r="F8" s="31"/>
    </row>
    <row r="9" spans="1:6" ht="16.05" customHeight="1" x14ac:dyDescent="0.3">
      <c r="A9" s="11" t="s">
        <v>504</v>
      </c>
      <c r="B9" s="12" t="s">
        <v>505</v>
      </c>
      <c r="C9" s="13" t="s">
        <v>11</v>
      </c>
      <c r="D9" s="25"/>
      <c r="E9" s="14">
        <v>1</v>
      </c>
      <c r="F9" s="31"/>
    </row>
    <row r="10" spans="1:6" ht="16.05" customHeight="1" x14ac:dyDescent="0.3">
      <c r="A10" s="15" t="s">
        <v>506</v>
      </c>
      <c r="B10" s="16" t="s">
        <v>507</v>
      </c>
      <c r="C10" s="13" t="s">
        <v>11</v>
      </c>
      <c r="D10" s="25"/>
      <c r="E10" s="14"/>
      <c r="F10" s="31"/>
    </row>
    <row r="11" spans="1:6" ht="16.05" customHeight="1" x14ac:dyDescent="0.3">
      <c r="A11" s="11" t="s">
        <v>508</v>
      </c>
      <c r="B11" s="12" t="s">
        <v>509</v>
      </c>
      <c r="C11" s="13" t="s">
        <v>11</v>
      </c>
      <c r="D11" s="25"/>
      <c r="E11" s="14">
        <v>1</v>
      </c>
      <c r="F11" s="31"/>
    </row>
    <row r="12" spans="1:6" ht="16.05" customHeight="1" x14ac:dyDescent="0.3">
      <c r="A12" s="15" t="s">
        <v>510</v>
      </c>
      <c r="B12" s="16" t="s">
        <v>511</v>
      </c>
      <c r="C12" s="13" t="s">
        <v>11</v>
      </c>
      <c r="D12" s="25"/>
      <c r="E12" s="14">
        <v>2</v>
      </c>
      <c r="F12" s="31"/>
    </row>
    <row r="13" spans="1:6" ht="16.05" customHeight="1" x14ac:dyDescent="0.3">
      <c r="A13" s="11" t="s">
        <v>512</v>
      </c>
      <c r="B13" s="12" t="s">
        <v>513</v>
      </c>
      <c r="C13" s="13"/>
      <c r="D13" s="25" t="s">
        <v>11</v>
      </c>
      <c r="E13" s="14"/>
      <c r="F13" s="31"/>
    </row>
    <row r="14" spans="1:6" ht="16.05" customHeight="1" x14ac:dyDescent="0.3">
      <c r="A14" s="15" t="s">
        <v>514</v>
      </c>
      <c r="B14" s="16" t="s">
        <v>515</v>
      </c>
      <c r="C14" s="13" t="s">
        <v>11</v>
      </c>
      <c r="D14" s="25"/>
      <c r="E14" s="14">
        <v>1</v>
      </c>
      <c r="F14" s="31"/>
    </row>
    <row r="15" spans="1:6" ht="16.05" customHeight="1" x14ac:dyDescent="0.3">
      <c r="A15" s="11" t="s">
        <v>516</v>
      </c>
      <c r="B15" s="12" t="s">
        <v>517</v>
      </c>
      <c r="C15" s="13"/>
      <c r="D15" s="25"/>
      <c r="E15" s="14"/>
      <c r="F15" s="31"/>
    </row>
    <row r="16" spans="1:6" ht="16.05" customHeight="1" x14ac:dyDescent="0.3">
      <c r="A16" s="15" t="s">
        <v>518</v>
      </c>
      <c r="B16" s="16" t="s">
        <v>519</v>
      </c>
      <c r="C16" s="13"/>
      <c r="D16" s="25" t="s">
        <v>11</v>
      </c>
      <c r="E16" s="14"/>
      <c r="F16" s="31"/>
    </row>
    <row r="17" spans="1:6" ht="16.05" customHeight="1" x14ac:dyDescent="0.3">
      <c r="A17" s="11" t="s">
        <v>520</v>
      </c>
      <c r="B17" s="12" t="s">
        <v>521</v>
      </c>
      <c r="C17" s="13"/>
      <c r="D17" s="25"/>
      <c r="E17" s="14">
        <v>1</v>
      </c>
      <c r="F17" s="31"/>
    </row>
    <row r="18" spans="1:6" ht="16.05" customHeight="1" x14ac:dyDescent="0.3">
      <c r="A18" s="15" t="s">
        <v>522</v>
      </c>
      <c r="B18" s="16" t="s">
        <v>523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524</v>
      </c>
      <c r="B19" s="12" t="s">
        <v>525</v>
      </c>
      <c r="C19" s="13" t="s">
        <v>11</v>
      </c>
      <c r="D19" s="25"/>
      <c r="E19" s="14">
        <v>1</v>
      </c>
      <c r="F19" s="31"/>
    </row>
    <row r="20" spans="1:6" ht="16.05" customHeight="1" x14ac:dyDescent="0.3">
      <c r="A20" s="15" t="s">
        <v>526</v>
      </c>
      <c r="B20" s="16" t="s">
        <v>527</v>
      </c>
      <c r="C20" s="13"/>
      <c r="D20" s="25" t="s">
        <v>11</v>
      </c>
      <c r="E20" s="14"/>
      <c r="F20" s="31"/>
    </row>
    <row r="21" spans="1:6" ht="16.05" customHeight="1" x14ac:dyDescent="0.3">
      <c r="A21" s="11" t="s">
        <v>528</v>
      </c>
      <c r="B21" s="12" t="s">
        <v>529</v>
      </c>
      <c r="C21" s="13" t="s">
        <v>11</v>
      </c>
      <c r="D21" s="25"/>
      <c r="E21" s="14"/>
      <c r="F21" s="31"/>
    </row>
    <row r="22" spans="1:6" ht="16.05" customHeight="1" x14ac:dyDescent="0.3">
      <c r="A22" s="15" t="s">
        <v>530</v>
      </c>
      <c r="B22" s="16" t="s">
        <v>47</v>
      </c>
      <c r="C22" s="13" t="s">
        <v>11</v>
      </c>
      <c r="D22" s="25"/>
      <c r="E22" s="14">
        <v>3</v>
      </c>
      <c r="F22" s="31"/>
    </row>
    <row r="23" spans="1:6" ht="16.05" customHeight="1" x14ac:dyDescent="0.3">
      <c r="A23" s="11" t="s">
        <v>531</v>
      </c>
      <c r="B23" s="12" t="s">
        <v>532</v>
      </c>
      <c r="C23" s="13" t="s">
        <v>11</v>
      </c>
      <c r="D23" s="25"/>
      <c r="E23" s="14">
        <v>1</v>
      </c>
      <c r="F23" s="31">
        <v>1</v>
      </c>
    </row>
    <row r="24" spans="1:6" ht="16.05" customHeight="1" x14ac:dyDescent="0.3">
      <c r="A24" s="15" t="s">
        <v>533</v>
      </c>
      <c r="B24" s="16" t="s">
        <v>534</v>
      </c>
      <c r="C24" s="13"/>
      <c r="D24" s="25"/>
      <c r="E24" s="14"/>
      <c r="F24" s="31"/>
    </row>
    <row r="25" spans="1:6" ht="16.05" customHeight="1" x14ac:dyDescent="0.3">
      <c r="A25" s="11" t="s">
        <v>535</v>
      </c>
      <c r="B25" s="12" t="s">
        <v>46</v>
      </c>
      <c r="C25" s="13" t="s">
        <v>11</v>
      </c>
      <c r="D25" s="25"/>
      <c r="E25" s="14">
        <v>2</v>
      </c>
      <c r="F25" s="31"/>
    </row>
    <row r="26" spans="1:6" ht="16.05" customHeight="1" x14ac:dyDescent="0.3">
      <c r="A26" s="15" t="s">
        <v>536</v>
      </c>
      <c r="B26" s="16" t="s">
        <v>537</v>
      </c>
      <c r="C26" s="13"/>
      <c r="D26" s="25" t="s">
        <v>11</v>
      </c>
      <c r="E26" s="14"/>
      <c r="F26" s="31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0"/>
  <sheetViews>
    <sheetView workbookViewId="0">
      <pane ySplit="2" topLeftCell="A11" activePane="bottomLeft" state="frozen"/>
      <selection pane="bottomLeft" activeCell="E28" sqref="E2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3" t="s">
        <v>48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538</v>
      </c>
      <c r="B3" s="12" t="s">
        <v>539</v>
      </c>
      <c r="C3" s="13"/>
      <c r="D3" s="25" t="s">
        <v>11</v>
      </c>
      <c r="E3" s="14"/>
      <c r="F3" s="31"/>
    </row>
    <row r="4" spans="1:6" ht="16.05" customHeight="1" x14ac:dyDescent="0.3">
      <c r="A4" s="15" t="s">
        <v>540</v>
      </c>
      <c r="B4" s="16" t="s">
        <v>541</v>
      </c>
      <c r="C4" s="13" t="s">
        <v>11</v>
      </c>
      <c r="D4" s="25"/>
      <c r="E4" s="14">
        <v>1</v>
      </c>
      <c r="F4" s="31"/>
    </row>
    <row r="5" spans="1:6" ht="16.05" customHeight="1" x14ac:dyDescent="0.3">
      <c r="A5" s="11" t="s">
        <v>542</v>
      </c>
      <c r="B5" s="12" t="s">
        <v>51</v>
      </c>
      <c r="C5" s="13"/>
      <c r="D5" s="25" t="s">
        <v>11</v>
      </c>
      <c r="E5" s="14"/>
      <c r="F5" s="31"/>
    </row>
    <row r="6" spans="1:6" ht="16.05" customHeight="1" x14ac:dyDescent="0.3">
      <c r="A6" s="15" t="s">
        <v>543</v>
      </c>
      <c r="B6" s="16" t="s">
        <v>544</v>
      </c>
      <c r="C6" s="13" t="s">
        <v>11</v>
      </c>
      <c r="D6" s="25"/>
      <c r="E6" s="14"/>
      <c r="F6" s="31"/>
    </row>
    <row r="7" spans="1:6" ht="16.05" customHeight="1" x14ac:dyDescent="0.3">
      <c r="A7" s="11" t="s">
        <v>545</v>
      </c>
      <c r="B7" s="12" t="s">
        <v>546</v>
      </c>
      <c r="C7" s="13" t="s">
        <v>11</v>
      </c>
      <c r="D7" s="25"/>
      <c r="E7" s="14">
        <v>2</v>
      </c>
      <c r="F7" s="31"/>
    </row>
    <row r="8" spans="1:6" ht="16.05" customHeight="1" x14ac:dyDescent="0.3">
      <c r="A8" s="15" t="s">
        <v>547</v>
      </c>
      <c r="B8" s="16" t="s">
        <v>548</v>
      </c>
      <c r="C8" s="13" t="s">
        <v>11</v>
      </c>
      <c r="D8" s="25"/>
      <c r="E8" s="14">
        <v>1</v>
      </c>
      <c r="F8" s="31"/>
    </row>
    <row r="9" spans="1:6" ht="16.05" customHeight="1" x14ac:dyDescent="0.3">
      <c r="A9" s="11" t="s">
        <v>549</v>
      </c>
      <c r="B9" s="12" t="s">
        <v>550</v>
      </c>
      <c r="C9" s="13" t="s">
        <v>11</v>
      </c>
      <c r="D9" s="25"/>
      <c r="E9" s="14">
        <v>2</v>
      </c>
      <c r="F9" s="31"/>
    </row>
    <row r="10" spans="1:6" ht="16.05" customHeight="1" x14ac:dyDescent="0.3">
      <c r="A10" s="15" t="s">
        <v>551</v>
      </c>
      <c r="B10" s="16" t="s">
        <v>552</v>
      </c>
      <c r="C10" s="13"/>
      <c r="D10" s="25"/>
      <c r="E10" s="14"/>
      <c r="F10" s="31"/>
    </row>
    <row r="11" spans="1:6" ht="16.05" customHeight="1" x14ac:dyDescent="0.3">
      <c r="A11" s="11" t="s">
        <v>553</v>
      </c>
      <c r="B11" s="12" t="s">
        <v>554</v>
      </c>
      <c r="C11" s="13" t="s">
        <v>11</v>
      </c>
      <c r="D11" s="25"/>
      <c r="E11" s="14">
        <v>1</v>
      </c>
      <c r="F11" s="31"/>
    </row>
    <row r="12" spans="1:6" ht="16.05" customHeight="1" x14ac:dyDescent="0.3">
      <c r="A12" s="15" t="s">
        <v>555</v>
      </c>
      <c r="B12" s="16" t="s">
        <v>556</v>
      </c>
      <c r="C12" s="13" t="s">
        <v>11</v>
      </c>
      <c r="D12" s="25"/>
      <c r="E12" s="14">
        <v>2</v>
      </c>
      <c r="F12" s="31"/>
    </row>
    <row r="13" spans="1:6" ht="16.05" customHeight="1" x14ac:dyDescent="0.3">
      <c r="A13" s="11" t="s">
        <v>557</v>
      </c>
      <c r="B13" s="12" t="s">
        <v>558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559</v>
      </c>
      <c r="B14" s="16" t="s">
        <v>560</v>
      </c>
      <c r="C14" s="13" t="s">
        <v>11</v>
      </c>
      <c r="D14" s="25"/>
      <c r="E14" s="14">
        <v>1</v>
      </c>
      <c r="F14" s="31"/>
    </row>
    <row r="15" spans="1:6" ht="16.05" customHeight="1" x14ac:dyDescent="0.3">
      <c r="A15" s="11" t="s">
        <v>561</v>
      </c>
      <c r="B15" s="12" t="s">
        <v>562</v>
      </c>
      <c r="C15" s="13" t="s">
        <v>11</v>
      </c>
      <c r="D15" s="25"/>
      <c r="E15" s="14">
        <v>3</v>
      </c>
      <c r="F15" s="31"/>
    </row>
    <row r="16" spans="1:6" ht="16.05" customHeight="1" x14ac:dyDescent="0.3">
      <c r="A16" s="15" t="s">
        <v>563</v>
      </c>
      <c r="B16" s="16" t="s">
        <v>564</v>
      </c>
      <c r="C16" s="13"/>
      <c r="D16" s="25"/>
      <c r="E16" s="14"/>
      <c r="F16" s="31"/>
    </row>
    <row r="17" spans="1:6" ht="16.05" customHeight="1" x14ac:dyDescent="0.3">
      <c r="A17" s="11" t="s">
        <v>565</v>
      </c>
      <c r="B17" s="12" t="s">
        <v>566</v>
      </c>
      <c r="C17" s="13" t="s">
        <v>11</v>
      </c>
      <c r="D17" s="25"/>
      <c r="E17" s="14"/>
      <c r="F17" s="31"/>
    </row>
    <row r="18" spans="1:6" ht="16.05" customHeight="1" x14ac:dyDescent="0.3">
      <c r="A18" s="15" t="s">
        <v>567</v>
      </c>
      <c r="B18" s="16" t="s">
        <v>51</v>
      </c>
      <c r="C18" s="13"/>
      <c r="D18" s="25"/>
      <c r="E18" s="14"/>
      <c r="F18" s="31"/>
    </row>
    <row r="19" spans="1:6" ht="16.05" customHeight="1" x14ac:dyDescent="0.3">
      <c r="A19" s="11" t="s">
        <v>568</v>
      </c>
      <c r="B19" s="12" t="s">
        <v>50</v>
      </c>
      <c r="C19" s="13" t="s">
        <v>11</v>
      </c>
      <c r="D19" s="25"/>
      <c r="E19" s="14">
        <v>2</v>
      </c>
      <c r="F19" s="31"/>
    </row>
    <row r="20" spans="1:6" ht="16.05" customHeight="1" x14ac:dyDescent="0.3">
      <c r="A20" s="15" t="s">
        <v>569</v>
      </c>
      <c r="B20" s="16" t="s">
        <v>570</v>
      </c>
      <c r="C20" s="13" t="s">
        <v>11</v>
      </c>
      <c r="D20" s="25"/>
      <c r="E20" s="14"/>
      <c r="F20" s="31"/>
    </row>
    <row r="21" spans="1:6" ht="16.05" customHeight="1" x14ac:dyDescent="0.3">
      <c r="A21" s="11" t="s">
        <v>571</v>
      </c>
      <c r="B21" s="12" t="s">
        <v>572</v>
      </c>
      <c r="C21" s="13" t="s">
        <v>11</v>
      </c>
      <c r="D21" s="25"/>
      <c r="E21" s="14">
        <v>1</v>
      </c>
      <c r="F21" s="31"/>
    </row>
    <row r="22" spans="1:6" ht="16.05" customHeight="1" x14ac:dyDescent="0.3">
      <c r="A22" s="15" t="s">
        <v>573</v>
      </c>
      <c r="B22" s="16" t="s">
        <v>574</v>
      </c>
      <c r="C22" s="13"/>
      <c r="D22" s="25"/>
      <c r="E22" s="14">
        <v>2</v>
      </c>
      <c r="F22" s="31"/>
    </row>
    <row r="23" spans="1:6" ht="16.05" customHeight="1" x14ac:dyDescent="0.3">
      <c r="A23" s="11" t="s">
        <v>575</v>
      </c>
      <c r="B23" s="12" t="s">
        <v>576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577</v>
      </c>
      <c r="B24" s="16" t="s">
        <v>578</v>
      </c>
      <c r="C24" s="13" t="s">
        <v>11</v>
      </c>
      <c r="D24" s="25"/>
      <c r="E24" s="14"/>
      <c r="F24" s="31"/>
    </row>
    <row r="25" spans="1:6" ht="16.05" customHeight="1" x14ac:dyDescent="0.3">
      <c r="A25" s="11" t="s">
        <v>579</v>
      </c>
      <c r="B25" s="12" t="s">
        <v>580</v>
      </c>
      <c r="C25" s="13"/>
      <c r="D25" s="25"/>
      <c r="E25" s="14">
        <v>2</v>
      </c>
      <c r="F25" s="31"/>
    </row>
    <row r="26" spans="1:6" ht="16.05" customHeight="1" x14ac:dyDescent="0.3">
      <c r="A26" s="15" t="s">
        <v>581</v>
      </c>
      <c r="B26" s="16" t="s">
        <v>582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583</v>
      </c>
      <c r="B27" s="12" t="s">
        <v>584</v>
      </c>
      <c r="C27" s="13" t="s">
        <v>11</v>
      </c>
      <c r="D27" s="25"/>
      <c r="E27" s="14">
        <v>1</v>
      </c>
      <c r="F27" s="31">
        <v>1</v>
      </c>
    </row>
    <row r="28" spans="1:6" ht="16.05" customHeight="1" x14ac:dyDescent="0.3">
      <c r="A28" s="15" t="s">
        <v>585</v>
      </c>
      <c r="B28" s="16" t="s">
        <v>586</v>
      </c>
      <c r="C28" s="13"/>
      <c r="D28" s="25"/>
      <c r="E28" s="14">
        <v>1</v>
      </c>
      <c r="F28" s="31">
        <v>1</v>
      </c>
    </row>
    <row r="29" spans="1:6" ht="16.05" customHeight="1" x14ac:dyDescent="0.3">
      <c r="A29" s="11" t="s">
        <v>587</v>
      </c>
      <c r="B29" s="12" t="s">
        <v>588</v>
      </c>
      <c r="C29" s="13"/>
      <c r="D29" s="25"/>
      <c r="E29" s="14"/>
      <c r="F29" s="31"/>
    </row>
    <row r="30" spans="1:6" ht="16.05" customHeight="1" x14ac:dyDescent="0.3">
      <c r="A30" s="15" t="s">
        <v>589</v>
      </c>
      <c r="B30" s="16" t="s">
        <v>590</v>
      </c>
      <c r="C30" s="13"/>
      <c r="D30" s="25" t="s">
        <v>11</v>
      </c>
      <c r="E30" s="14"/>
      <c r="F30" s="31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6"/>
  <sheetViews>
    <sheetView workbookViewId="0">
      <pane ySplit="2" topLeftCell="A3" activePane="bottomLeft" state="frozen"/>
      <selection pane="bottomLeft" activeCell="D26" sqref="D2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6" t="s">
        <v>52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591</v>
      </c>
      <c r="B3" s="12" t="s">
        <v>592</v>
      </c>
      <c r="C3" s="13" t="s">
        <v>11</v>
      </c>
      <c r="D3" s="25"/>
      <c r="E3" s="14">
        <v>2</v>
      </c>
      <c r="F3" s="31"/>
    </row>
    <row r="4" spans="1:6" ht="16.05" customHeight="1" x14ac:dyDescent="0.3">
      <c r="A4" s="15" t="s">
        <v>593</v>
      </c>
      <c r="B4" s="16" t="s">
        <v>594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595</v>
      </c>
      <c r="B5" s="12" t="s">
        <v>596</v>
      </c>
      <c r="C5" s="13" t="s">
        <v>11</v>
      </c>
      <c r="D5" s="25"/>
      <c r="E5" s="14"/>
      <c r="F5" s="31"/>
    </row>
    <row r="6" spans="1:6" ht="16.05" customHeight="1" x14ac:dyDescent="0.3">
      <c r="A6" s="15" t="s">
        <v>597</v>
      </c>
      <c r="B6" s="16" t="s">
        <v>598</v>
      </c>
      <c r="C6" s="13" t="s">
        <v>11</v>
      </c>
      <c r="D6" s="25"/>
      <c r="E6" s="14"/>
      <c r="F6" s="31"/>
    </row>
    <row r="7" spans="1:6" ht="16.05" customHeight="1" x14ac:dyDescent="0.3">
      <c r="A7" s="11" t="s">
        <v>599</v>
      </c>
      <c r="B7" s="12" t="s">
        <v>600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601</v>
      </c>
      <c r="B8" s="16" t="s">
        <v>602</v>
      </c>
      <c r="C8" s="13" t="s">
        <v>11</v>
      </c>
      <c r="D8" s="25"/>
      <c r="E8" s="14">
        <v>2</v>
      </c>
      <c r="F8" s="31"/>
    </row>
    <row r="9" spans="1:6" ht="16.05" customHeight="1" x14ac:dyDescent="0.3">
      <c r="A9" s="11" t="s">
        <v>603</v>
      </c>
      <c r="B9" s="12" t="s">
        <v>604</v>
      </c>
      <c r="C9" s="13" t="s">
        <v>11</v>
      </c>
      <c r="D9" s="25"/>
      <c r="E9" s="14">
        <v>1</v>
      </c>
      <c r="F9" s="31"/>
    </row>
    <row r="10" spans="1:6" ht="16.05" customHeight="1" x14ac:dyDescent="0.3">
      <c r="A10" s="15" t="s">
        <v>605</v>
      </c>
      <c r="B10" s="16" t="s">
        <v>606</v>
      </c>
      <c r="C10" s="13"/>
      <c r="D10" s="25"/>
      <c r="E10" s="14"/>
      <c r="F10" s="31"/>
    </row>
    <row r="11" spans="1:6" ht="16.05" customHeight="1" x14ac:dyDescent="0.3">
      <c r="A11" s="11" t="s">
        <v>607</v>
      </c>
      <c r="B11" s="12" t="s">
        <v>608</v>
      </c>
      <c r="C11" s="13" t="s">
        <v>11</v>
      </c>
      <c r="D11" s="25"/>
      <c r="E11" s="14">
        <v>2</v>
      </c>
      <c r="F11" s="31"/>
    </row>
    <row r="12" spans="1:6" ht="16.05" customHeight="1" x14ac:dyDescent="0.3">
      <c r="A12" s="15" t="s">
        <v>609</v>
      </c>
      <c r="B12" s="16" t="s">
        <v>610</v>
      </c>
      <c r="C12" s="13" t="s">
        <v>11</v>
      </c>
      <c r="D12" s="25"/>
      <c r="E12" s="14"/>
      <c r="F12" s="31"/>
    </row>
    <row r="13" spans="1:6" ht="16.05" customHeight="1" x14ac:dyDescent="0.3">
      <c r="A13" s="11" t="s">
        <v>611</v>
      </c>
      <c r="B13" s="12" t="s">
        <v>612</v>
      </c>
      <c r="C13" s="13" t="s">
        <v>11</v>
      </c>
      <c r="D13" s="25"/>
      <c r="E13" s="14">
        <v>1</v>
      </c>
      <c r="F13" s="31"/>
    </row>
    <row r="14" spans="1:6" ht="16.05" customHeight="1" x14ac:dyDescent="0.3">
      <c r="A14" s="15" t="s">
        <v>613</v>
      </c>
      <c r="B14" s="16" t="s">
        <v>614</v>
      </c>
      <c r="C14" s="13" t="s">
        <v>11</v>
      </c>
      <c r="D14" s="25"/>
      <c r="E14" s="14">
        <v>1</v>
      </c>
      <c r="F14" s="31"/>
    </row>
    <row r="15" spans="1:6" ht="16.05" customHeight="1" x14ac:dyDescent="0.3">
      <c r="A15" s="11" t="s">
        <v>615</v>
      </c>
      <c r="B15" s="12" t="s">
        <v>616</v>
      </c>
      <c r="C15" s="13" t="s">
        <v>11</v>
      </c>
      <c r="D15" s="25"/>
      <c r="E15" s="14">
        <v>1</v>
      </c>
      <c r="F15" s="31"/>
    </row>
    <row r="16" spans="1:6" ht="16.05" customHeight="1" x14ac:dyDescent="0.3">
      <c r="A16" s="15" t="s">
        <v>617</v>
      </c>
      <c r="B16" s="16" t="s">
        <v>618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619</v>
      </c>
      <c r="B17" s="12" t="s">
        <v>620</v>
      </c>
      <c r="C17" s="13" t="s">
        <v>11</v>
      </c>
      <c r="D17" s="25"/>
      <c r="E17" s="14"/>
      <c r="F17" s="31"/>
    </row>
    <row r="18" spans="1:6" ht="16.05" customHeight="1" x14ac:dyDescent="0.3">
      <c r="A18" s="15" t="s">
        <v>621</v>
      </c>
      <c r="B18" s="16" t="s">
        <v>622</v>
      </c>
      <c r="C18" s="13"/>
      <c r="D18" s="25"/>
      <c r="E18" s="14">
        <v>2</v>
      </c>
      <c r="F18" s="31"/>
    </row>
    <row r="19" spans="1:6" ht="16.05" customHeight="1" x14ac:dyDescent="0.3">
      <c r="A19" s="11" t="s">
        <v>623</v>
      </c>
      <c r="B19" s="12" t="s">
        <v>624</v>
      </c>
      <c r="C19" s="13" t="s">
        <v>11</v>
      </c>
      <c r="D19" s="25"/>
      <c r="E19" s="14"/>
      <c r="F19" s="31"/>
    </row>
    <row r="20" spans="1:6" ht="16.05" customHeight="1" x14ac:dyDescent="0.3">
      <c r="A20" s="15" t="s">
        <v>625</v>
      </c>
      <c r="B20" s="16" t="s">
        <v>626</v>
      </c>
      <c r="C20" s="13" t="s">
        <v>11</v>
      </c>
      <c r="D20" s="25"/>
      <c r="E20" s="14"/>
      <c r="F20" s="31"/>
    </row>
    <row r="21" spans="1:6" ht="16.05" customHeight="1" x14ac:dyDescent="0.3">
      <c r="A21" s="11" t="s">
        <v>627</v>
      </c>
      <c r="B21" s="12" t="s">
        <v>596</v>
      </c>
      <c r="C21" s="13"/>
      <c r="D21" s="25" t="s">
        <v>11</v>
      </c>
      <c r="E21" s="14"/>
      <c r="F21" s="31"/>
    </row>
    <row r="22" spans="1:6" ht="16.05" customHeight="1" x14ac:dyDescent="0.3">
      <c r="A22" s="15" t="s">
        <v>628</v>
      </c>
      <c r="B22" s="16" t="s">
        <v>629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630</v>
      </c>
      <c r="B23" s="12" t="s">
        <v>631</v>
      </c>
      <c r="C23" s="13" t="s">
        <v>11</v>
      </c>
      <c r="D23" s="25"/>
      <c r="E23" s="14">
        <v>2</v>
      </c>
      <c r="F23" s="31"/>
    </row>
    <row r="24" spans="1:6" ht="16.05" customHeight="1" x14ac:dyDescent="0.3">
      <c r="A24" s="15" t="s">
        <v>632</v>
      </c>
      <c r="B24" s="16" t="s">
        <v>22</v>
      </c>
      <c r="C24" s="13"/>
      <c r="D24" s="25" t="s">
        <v>11</v>
      </c>
      <c r="E24" s="14"/>
      <c r="F24" s="31"/>
    </row>
    <row r="25" spans="1:6" ht="16.05" customHeight="1" x14ac:dyDescent="0.3">
      <c r="A25" s="11" t="s">
        <v>633</v>
      </c>
      <c r="B25" s="12" t="s">
        <v>634</v>
      </c>
      <c r="C25" s="13"/>
      <c r="D25" s="25"/>
      <c r="E25" s="14"/>
      <c r="F25" s="31"/>
    </row>
    <row r="26" spans="1:6" ht="16.05" customHeight="1" x14ac:dyDescent="0.3">
      <c r="A26" s="15" t="s">
        <v>635</v>
      </c>
      <c r="B26" s="16" t="s">
        <v>636</v>
      </c>
      <c r="C26" s="13"/>
      <c r="D26" s="25" t="s">
        <v>11</v>
      </c>
      <c r="E26" s="14"/>
      <c r="F26" s="31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7"/>
  <sheetViews>
    <sheetView workbookViewId="0">
      <pane ySplit="2" topLeftCell="A3" activePane="bottomLeft" state="frozen"/>
      <selection pane="bottomLeft" activeCell="E12" sqref="E1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4" t="s">
        <v>55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637</v>
      </c>
      <c r="B3" s="12" t="s">
        <v>638</v>
      </c>
      <c r="C3" s="13" t="s">
        <v>11</v>
      </c>
      <c r="D3" s="25"/>
      <c r="E3" s="14">
        <v>1</v>
      </c>
      <c r="F3" s="31"/>
    </row>
    <row r="4" spans="1:6" ht="16.05" customHeight="1" x14ac:dyDescent="0.3">
      <c r="A4" s="15" t="s">
        <v>639</v>
      </c>
      <c r="B4" s="16" t="s">
        <v>640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641</v>
      </c>
      <c r="B5" s="12" t="s">
        <v>642</v>
      </c>
      <c r="C5" s="13" t="s">
        <v>11</v>
      </c>
      <c r="D5" s="25"/>
      <c r="E5" s="14">
        <v>1</v>
      </c>
      <c r="F5" s="31"/>
    </row>
    <row r="6" spans="1:6" ht="16.05" customHeight="1" x14ac:dyDescent="0.3">
      <c r="A6" s="15" t="s">
        <v>643</v>
      </c>
      <c r="B6" s="16" t="s">
        <v>644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645</v>
      </c>
      <c r="B7" s="12" t="s">
        <v>646</v>
      </c>
      <c r="C7" s="13" t="s">
        <v>11</v>
      </c>
      <c r="D7" s="25"/>
      <c r="E7" s="14">
        <v>1</v>
      </c>
      <c r="F7" s="31"/>
    </row>
    <row r="8" spans="1:6" ht="16.05" customHeight="1" x14ac:dyDescent="0.3">
      <c r="A8" s="15" t="s">
        <v>647</v>
      </c>
      <c r="B8" s="16" t="s">
        <v>58</v>
      </c>
      <c r="C8" s="13" t="s">
        <v>11</v>
      </c>
      <c r="D8" s="25"/>
      <c r="E8" s="14">
        <v>1</v>
      </c>
      <c r="F8" s="31"/>
    </row>
    <row r="9" spans="1:6" ht="16.05" customHeight="1" x14ac:dyDescent="0.3">
      <c r="A9" s="11" t="s">
        <v>648</v>
      </c>
      <c r="B9" s="12" t="s">
        <v>649</v>
      </c>
      <c r="C9" s="13" t="s">
        <v>11</v>
      </c>
      <c r="D9" s="25"/>
      <c r="E9" s="14"/>
      <c r="F9" s="31"/>
    </row>
    <row r="10" spans="1:6" ht="16.05" customHeight="1" x14ac:dyDescent="0.3">
      <c r="A10" s="15" t="s">
        <v>650</v>
      </c>
      <c r="B10" s="16" t="s">
        <v>651</v>
      </c>
      <c r="C10" s="13"/>
      <c r="D10" s="25"/>
      <c r="E10" s="14"/>
      <c r="F10" s="31"/>
    </row>
    <row r="11" spans="1:6" ht="16.05" customHeight="1" x14ac:dyDescent="0.3">
      <c r="A11" s="11" t="s">
        <v>652</v>
      </c>
      <c r="B11" s="12" t="s">
        <v>653</v>
      </c>
      <c r="C11" s="13" t="s">
        <v>11</v>
      </c>
      <c r="D11" s="25"/>
      <c r="E11" s="14"/>
      <c r="F11" s="31"/>
    </row>
    <row r="12" spans="1:6" ht="16.05" customHeight="1" x14ac:dyDescent="0.3">
      <c r="A12" s="15" t="s">
        <v>654</v>
      </c>
      <c r="B12" s="16" t="s">
        <v>655</v>
      </c>
      <c r="C12" s="13" t="s">
        <v>11</v>
      </c>
      <c r="D12" s="25"/>
      <c r="E12" s="14">
        <v>2</v>
      </c>
      <c r="F12" s="31">
        <v>1</v>
      </c>
    </row>
    <row r="13" spans="1:6" ht="16.05" customHeight="1" x14ac:dyDescent="0.3">
      <c r="A13" s="11" t="s">
        <v>656</v>
      </c>
      <c r="B13" s="12" t="s">
        <v>657</v>
      </c>
      <c r="C13" s="13" t="s">
        <v>11</v>
      </c>
      <c r="D13" s="25"/>
      <c r="E13" s="14">
        <v>1</v>
      </c>
      <c r="F13" s="31"/>
    </row>
    <row r="14" spans="1:6" ht="16.05" customHeight="1" x14ac:dyDescent="0.3">
      <c r="A14" s="15" t="s">
        <v>658</v>
      </c>
      <c r="B14" s="16" t="s">
        <v>659</v>
      </c>
      <c r="C14" s="13"/>
      <c r="D14" s="25"/>
      <c r="E14" s="14"/>
      <c r="F14" s="31"/>
    </row>
    <row r="15" spans="1:6" ht="16.05" customHeight="1" x14ac:dyDescent="0.3">
      <c r="A15" s="11" t="s">
        <v>660</v>
      </c>
      <c r="B15" s="12" t="s">
        <v>661</v>
      </c>
      <c r="C15" s="13" t="s">
        <v>11</v>
      </c>
      <c r="D15" s="25"/>
      <c r="E15" s="14">
        <v>2</v>
      </c>
      <c r="F15" s="31"/>
    </row>
    <row r="16" spans="1:6" ht="16.05" customHeight="1" x14ac:dyDescent="0.3">
      <c r="A16" s="15" t="s">
        <v>662</v>
      </c>
      <c r="B16" s="16" t="s">
        <v>663</v>
      </c>
      <c r="C16" s="13"/>
      <c r="D16" s="25"/>
      <c r="E16" s="14"/>
      <c r="F16" s="31"/>
    </row>
    <row r="17" spans="1:6" ht="16.05" customHeight="1" x14ac:dyDescent="0.3">
      <c r="A17" s="11" t="s">
        <v>664</v>
      </c>
      <c r="B17" s="12" t="s">
        <v>665</v>
      </c>
      <c r="C17" s="13" t="s">
        <v>11</v>
      </c>
      <c r="D17" s="25"/>
      <c r="E17" s="14"/>
      <c r="F17" s="31"/>
    </row>
    <row r="18" spans="1:6" ht="16.05" customHeight="1" x14ac:dyDescent="0.3">
      <c r="A18" s="15" t="s">
        <v>666</v>
      </c>
      <c r="B18" s="16" t="s">
        <v>667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668</v>
      </c>
      <c r="B19" s="12" t="s">
        <v>57</v>
      </c>
      <c r="C19" s="13" t="s">
        <v>11</v>
      </c>
      <c r="D19" s="25"/>
      <c r="E19" s="14">
        <v>1</v>
      </c>
      <c r="F19" s="31"/>
    </row>
    <row r="20" spans="1:6" ht="16.05" customHeight="1" x14ac:dyDescent="0.3">
      <c r="A20" s="15" t="s">
        <v>669</v>
      </c>
      <c r="B20" s="16" t="s">
        <v>670</v>
      </c>
      <c r="C20" s="13" t="s">
        <v>11</v>
      </c>
      <c r="D20" s="25"/>
      <c r="E20" s="14">
        <v>1</v>
      </c>
      <c r="F20" s="31"/>
    </row>
    <row r="21" spans="1:6" ht="16.05" customHeight="1" x14ac:dyDescent="0.3">
      <c r="A21" s="11" t="s">
        <v>671</v>
      </c>
      <c r="B21" s="12" t="s">
        <v>672</v>
      </c>
      <c r="C21" s="13" t="s">
        <v>11</v>
      </c>
      <c r="D21" s="25"/>
      <c r="E21" s="14">
        <v>1</v>
      </c>
      <c r="F21" s="31"/>
    </row>
    <row r="22" spans="1:6" ht="16.05" customHeight="1" x14ac:dyDescent="0.3">
      <c r="A22" s="15" t="s">
        <v>673</v>
      </c>
      <c r="B22" s="16" t="s">
        <v>674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675</v>
      </c>
      <c r="B23" s="12" t="s">
        <v>676</v>
      </c>
      <c r="C23" s="13" t="s">
        <v>11</v>
      </c>
      <c r="D23" s="25"/>
      <c r="E23" s="14">
        <v>1</v>
      </c>
      <c r="F23" s="31"/>
    </row>
    <row r="24" spans="1:6" ht="16.05" customHeight="1" x14ac:dyDescent="0.3">
      <c r="A24" s="15" t="s">
        <v>677</v>
      </c>
      <c r="B24" s="16" t="s">
        <v>678</v>
      </c>
      <c r="C24" s="13" t="s">
        <v>11</v>
      </c>
      <c r="D24" s="25"/>
      <c r="E24" s="14"/>
      <c r="F24" s="31"/>
    </row>
    <row r="25" spans="1:6" ht="16.05" customHeight="1" x14ac:dyDescent="0.3">
      <c r="A25" s="11" t="s">
        <v>679</v>
      </c>
      <c r="B25" s="12" t="s">
        <v>642</v>
      </c>
      <c r="C25" s="13"/>
      <c r="D25" s="25" t="s">
        <v>11</v>
      </c>
      <c r="E25" s="14"/>
      <c r="F25" s="31"/>
    </row>
    <row r="26" spans="1:6" ht="16.05" customHeight="1" x14ac:dyDescent="0.3">
      <c r="A26" s="15" t="s">
        <v>680</v>
      </c>
      <c r="B26" s="16" t="s">
        <v>681</v>
      </c>
      <c r="C26" s="13"/>
      <c r="D26" s="25"/>
      <c r="E26" s="14"/>
      <c r="F26" s="31"/>
    </row>
    <row r="27" spans="1:6" ht="16.05" customHeight="1" x14ac:dyDescent="0.3">
      <c r="A27" s="11" t="s">
        <v>682</v>
      </c>
      <c r="B27" s="12" t="s">
        <v>683</v>
      </c>
      <c r="C27" s="13"/>
      <c r="D27" s="25"/>
      <c r="E27" s="14"/>
      <c r="F27" s="31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5" t="s">
        <v>59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684</v>
      </c>
      <c r="B3" s="12" t="s">
        <v>685</v>
      </c>
      <c r="C3" s="13"/>
      <c r="D3" s="25" t="s">
        <v>11</v>
      </c>
      <c r="E3" s="14"/>
      <c r="F3" s="31"/>
    </row>
    <row r="4" spans="1:6" ht="16.05" customHeight="1" x14ac:dyDescent="0.3">
      <c r="A4" s="15" t="s">
        <v>686</v>
      </c>
      <c r="B4" s="16" t="s">
        <v>687</v>
      </c>
      <c r="C4" s="13" t="s">
        <v>11</v>
      </c>
      <c r="D4" s="25"/>
      <c r="E4" s="14">
        <v>2</v>
      </c>
      <c r="F4" s="31"/>
    </row>
    <row r="5" spans="1:6" ht="16.05" customHeight="1" x14ac:dyDescent="0.3">
      <c r="A5" s="11" t="s">
        <v>688</v>
      </c>
      <c r="B5" s="12" t="s">
        <v>61</v>
      </c>
      <c r="C5" s="13" t="s">
        <v>11</v>
      </c>
      <c r="D5" s="25"/>
      <c r="E5" s="14"/>
      <c r="F5" s="31"/>
    </row>
    <row r="6" spans="1:6" ht="16.05" customHeight="1" x14ac:dyDescent="0.3">
      <c r="A6" s="15" t="s">
        <v>689</v>
      </c>
      <c r="B6" s="16" t="s">
        <v>690</v>
      </c>
      <c r="C6" s="13" t="s">
        <v>11</v>
      </c>
      <c r="D6" s="25"/>
      <c r="E6" s="14"/>
      <c r="F6" s="31"/>
    </row>
    <row r="7" spans="1:6" ht="16.05" customHeight="1" x14ac:dyDescent="0.3">
      <c r="A7" s="11" t="s">
        <v>691</v>
      </c>
      <c r="B7" s="12" t="s">
        <v>692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693</v>
      </c>
      <c r="B8" s="16" t="s">
        <v>694</v>
      </c>
      <c r="C8" s="13" t="s">
        <v>11</v>
      </c>
      <c r="D8" s="25"/>
      <c r="E8" s="14">
        <v>1</v>
      </c>
      <c r="F8" s="31"/>
    </row>
    <row r="9" spans="1:6" ht="16.05" customHeight="1" x14ac:dyDescent="0.3">
      <c r="A9" s="11" t="s">
        <v>695</v>
      </c>
      <c r="B9" s="12" t="s">
        <v>696</v>
      </c>
      <c r="C9" s="13" t="s">
        <v>11</v>
      </c>
      <c r="D9" s="25"/>
      <c r="E9" s="14"/>
      <c r="F9" s="31"/>
    </row>
    <row r="10" spans="1:6" ht="16.05" customHeight="1" x14ac:dyDescent="0.3">
      <c r="A10" s="15" t="s">
        <v>697</v>
      </c>
      <c r="B10" s="16" t="s">
        <v>698</v>
      </c>
      <c r="C10" s="13"/>
      <c r="D10" s="25" t="s">
        <v>11</v>
      </c>
      <c r="E10" s="14"/>
      <c r="F10" s="31"/>
    </row>
    <row r="11" spans="1:6" ht="16.05" customHeight="1" x14ac:dyDescent="0.3">
      <c r="A11" s="11" t="s">
        <v>699</v>
      </c>
      <c r="B11" s="12" t="s">
        <v>700</v>
      </c>
      <c r="C11" s="13" t="s">
        <v>11</v>
      </c>
      <c r="D11" s="25"/>
      <c r="E11" s="14"/>
      <c r="F11" s="31"/>
    </row>
    <row r="12" spans="1:6" ht="16.05" customHeight="1" x14ac:dyDescent="0.3">
      <c r="A12" s="15" t="s">
        <v>701</v>
      </c>
      <c r="B12" s="16" t="s">
        <v>702</v>
      </c>
      <c r="C12" s="13"/>
      <c r="D12" s="25"/>
      <c r="E12" s="14"/>
      <c r="F12" s="31"/>
    </row>
    <row r="13" spans="1:6" ht="16.05" customHeight="1" x14ac:dyDescent="0.3">
      <c r="A13" s="11" t="s">
        <v>703</v>
      </c>
      <c r="B13" s="12" t="s">
        <v>704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705</v>
      </c>
      <c r="B14" s="16" t="s">
        <v>706</v>
      </c>
      <c r="C14" s="13"/>
      <c r="D14" s="25"/>
      <c r="E14" s="14">
        <v>2</v>
      </c>
      <c r="F14" s="31"/>
    </row>
    <row r="15" spans="1:6" ht="16.05" customHeight="1" x14ac:dyDescent="0.3">
      <c r="A15" s="11" t="s">
        <v>707</v>
      </c>
      <c r="B15" s="12" t="s">
        <v>708</v>
      </c>
      <c r="C15" s="13" t="s">
        <v>11</v>
      </c>
      <c r="D15" s="25"/>
      <c r="E15" s="14">
        <v>1</v>
      </c>
      <c r="F15" s="31">
        <v>1</v>
      </c>
    </row>
    <row r="16" spans="1:6" ht="16.05" customHeight="1" x14ac:dyDescent="0.3">
      <c r="A16" s="15" t="s">
        <v>709</v>
      </c>
      <c r="B16" s="16" t="s">
        <v>710</v>
      </c>
      <c r="C16" s="13" t="s">
        <v>11</v>
      </c>
      <c r="D16" s="25"/>
      <c r="E16" s="14">
        <v>1</v>
      </c>
      <c r="F16" s="31">
        <v>1</v>
      </c>
    </row>
    <row r="17" spans="1:6" ht="16.05" customHeight="1" x14ac:dyDescent="0.3">
      <c r="A17" s="11" t="s">
        <v>711</v>
      </c>
      <c r="B17" s="12" t="s">
        <v>712</v>
      </c>
      <c r="C17" s="13" t="s">
        <v>11</v>
      </c>
      <c r="D17" s="25"/>
      <c r="E17" s="14">
        <v>2</v>
      </c>
      <c r="F17" s="31">
        <v>1</v>
      </c>
    </row>
    <row r="18" spans="1:6" ht="16.05" customHeight="1" x14ac:dyDescent="0.3">
      <c r="A18" s="15" t="s">
        <v>713</v>
      </c>
      <c r="B18" s="16" t="s">
        <v>714</v>
      </c>
      <c r="C18" s="13" t="s">
        <v>11</v>
      </c>
      <c r="D18" s="25"/>
      <c r="E18" s="14">
        <v>2</v>
      </c>
      <c r="F18" s="31"/>
    </row>
    <row r="19" spans="1:6" ht="16.05" customHeight="1" x14ac:dyDescent="0.3">
      <c r="A19" s="11" t="s">
        <v>715</v>
      </c>
      <c r="B19" s="12" t="s">
        <v>716</v>
      </c>
      <c r="C19" s="13" t="s">
        <v>11</v>
      </c>
      <c r="D19" s="25"/>
      <c r="E19" s="14">
        <v>2</v>
      </c>
      <c r="F19" s="31">
        <v>1</v>
      </c>
    </row>
    <row r="20" spans="1:6" ht="16.05" customHeight="1" x14ac:dyDescent="0.3">
      <c r="A20" s="15" t="s">
        <v>717</v>
      </c>
      <c r="B20" s="16" t="s">
        <v>718</v>
      </c>
      <c r="C20" s="13"/>
      <c r="D20" s="25"/>
      <c r="E20" s="14">
        <v>2</v>
      </c>
      <c r="F20" s="31"/>
    </row>
    <row r="21" spans="1:6" ht="16.05" customHeight="1" x14ac:dyDescent="0.3">
      <c r="A21" s="11" t="s">
        <v>719</v>
      </c>
      <c r="B21" s="12" t="s">
        <v>720</v>
      </c>
      <c r="C21" s="13" t="s">
        <v>11</v>
      </c>
      <c r="D21" s="25"/>
      <c r="E21" s="14">
        <v>1</v>
      </c>
      <c r="F21" s="31"/>
    </row>
    <row r="22" spans="1:6" ht="16.05" customHeight="1" x14ac:dyDescent="0.3">
      <c r="A22" s="15" t="s">
        <v>721</v>
      </c>
      <c r="B22" s="16" t="s">
        <v>722</v>
      </c>
      <c r="C22" s="13"/>
      <c r="D22" s="25"/>
      <c r="E22" s="14"/>
      <c r="F22" s="31"/>
    </row>
    <row r="23" spans="1:6" ht="16.05" customHeight="1" x14ac:dyDescent="0.3">
      <c r="A23" s="11" t="s">
        <v>723</v>
      </c>
      <c r="B23" s="12" t="s">
        <v>724</v>
      </c>
      <c r="C23" s="13"/>
      <c r="D23" s="25"/>
      <c r="E23" s="14"/>
      <c r="F23" s="31"/>
    </row>
    <row r="24" spans="1:6" ht="16.05" customHeight="1" x14ac:dyDescent="0.3">
      <c r="A24" s="15" t="s">
        <v>725</v>
      </c>
      <c r="B24" s="16" t="s">
        <v>726</v>
      </c>
      <c r="C24" s="13" t="s">
        <v>11</v>
      </c>
      <c r="D24" s="25"/>
      <c r="E24" s="14"/>
      <c r="F24" s="31"/>
    </row>
    <row r="25" spans="1:6" ht="16.05" customHeight="1" x14ac:dyDescent="0.3">
      <c r="A25" s="11" t="s">
        <v>727</v>
      </c>
      <c r="B25" s="12" t="s">
        <v>61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728</v>
      </c>
      <c r="B26" s="16" t="s">
        <v>62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729</v>
      </c>
      <c r="B27" s="12" t="s">
        <v>730</v>
      </c>
      <c r="C27" s="13" t="s">
        <v>11</v>
      </c>
      <c r="D27" s="25"/>
      <c r="E27" s="14"/>
      <c r="F27" s="31"/>
    </row>
    <row r="28" spans="1:6" ht="16.05" customHeight="1" x14ac:dyDescent="0.3">
      <c r="A28" s="15" t="s">
        <v>731</v>
      </c>
      <c r="B28" s="16" t="s">
        <v>732</v>
      </c>
      <c r="C28" s="13"/>
      <c r="D28" s="25"/>
      <c r="E28" s="14"/>
      <c r="F28" s="31"/>
    </row>
    <row r="29" spans="1:6" ht="16.05" customHeight="1" x14ac:dyDescent="0.3">
      <c r="A29" s="11" t="s">
        <v>733</v>
      </c>
      <c r="B29" s="12" t="s">
        <v>734</v>
      </c>
      <c r="C29" s="13"/>
      <c r="D29" s="25" t="s">
        <v>11</v>
      </c>
      <c r="E29" s="14"/>
      <c r="F29" s="31"/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7"/>
  <sheetViews>
    <sheetView workbookViewId="0">
      <pane ySplit="2" topLeftCell="A10" activePane="bottomLeft" state="frozen"/>
      <selection pane="bottomLeft" activeCell="F21" sqref="F21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6" t="s">
        <v>63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735</v>
      </c>
      <c r="B3" s="12" t="s">
        <v>736</v>
      </c>
      <c r="C3" s="13" t="s">
        <v>11</v>
      </c>
      <c r="D3" s="25"/>
      <c r="E3" s="14"/>
      <c r="F3" s="31"/>
    </row>
    <row r="4" spans="1:6" ht="16.05" customHeight="1" x14ac:dyDescent="0.3">
      <c r="A4" s="15" t="s">
        <v>737</v>
      </c>
      <c r="B4" s="16" t="s">
        <v>738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739</v>
      </c>
      <c r="B5" s="12" t="s">
        <v>740</v>
      </c>
      <c r="C5" s="13" t="s">
        <v>11</v>
      </c>
      <c r="D5" s="25"/>
      <c r="E5" s="14"/>
      <c r="F5" s="31"/>
    </row>
    <row r="6" spans="1:6" ht="16.05" customHeight="1" x14ac:dyDescent="0.3">
      <c r="A6" s="15" t="s">
        <v>741</v>
      </c>
      <c r="B6" s="16" t="s">
        <v>742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743</v>
      </c>
      <c r="B7" s="12" t="s">
        <v>744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745</v>
      </c>
      <c r="B8" s="16" t="s">
        <v>746</v>
      </c>
      <c r="C8" s="13" t="s">
        <v>11</v>
      </c>
      <c r="D8" s="25"/>
      <c r="E8" s="14"/>
      <c r="F8" s="31"/>
    </row>
    <row r="9" spans="1:6" ht="16.05" customHeight="1" x14ac:dyDescent="0.3">
      <c r="A9" s="11" t="s">
        <v>747</v>
      </c>
      <c r="B9" s="12" t="s">
        <v>748</v>
      </c>
      <c r="C9" s="13" t="s">
        <v>11</v>
      </c>
      <c r="D9" s="25"/>
      <c r="E9" s="14"/>
      <c r="F9" s="31"/>
    </row>
    <row r="10" spans="1:6" ht="16.05" customHeight="1" x14ac:dyDescent="0.3">
      <c r="A10" s="15" t="s">
        <v>749</v>
      </c>
      <c r="B10" s="16" t="s">
        <v>750</v>
      </c>
      <c r="C10" s="13" t="s">
        <v>11</v>
      </c>
      <c r="D10" s="25"/>
      <c r="E10" s="14"/>
      <c r="F10" s="31"/>
    </row>
    <row r="11" spans="1:6" ht="16.05" customHeight="1" x14ac:dyDescent="0.3">
      <c r="A11" s="11" t="s">
        <v>751</v>
      </c>
      <c r="B11" s="12" t="s">
        <v>752</v>
      </c>
      <c r="C11" s="13" t="s">
        <v>11</v>
      </c>
      <c r="D11" s="25"/>
      <c r="E11" s="14">
        <v>1</v>
      </c>
      <c r="F11" s="31"/>
    </row>
    <row r="12" spans="1:6" ht="16.05" customHeight="1" x14ac:dyDescent="0.3">
      <c r="A12" s="15" t="s">
        <v>753</v>
      </c>
      <c r="B12" s="16" t="s">
        <v>754</v>
      </c>
      <c r="C12" s="13" t="s">
        <v>11</v>
      </c>
      <c r="D12" s="25"/>
      <c r="E12" s="14"/>
      <c r="F12" s="31"/>
    </row>
    <row r="13" spans="1:6" ht="16.05" customHeight="1" x14ac:dyDescent="0.3">
      <c r="A13" s="11" t="s">
        <v>755</v>
      </c>
      <c r="B13" s="12" t="s">
        <v>756</v>
      </c>
      <c r="C13" s="13"/>
      <c r="D13" s="25"/>
      <c r="E13" s="14"/>
      <c r="F13" s="31"/>
    </row>
    <row r="14" spans="1:6" ht="16.05" customHeight="1" x14ac:dyDescent="0.3">
      <c r="A14" s="15" t="s">
        <v>757</v>
      </c>
      <c r="B14" s="16" t="s">
        <v>758</v>
      </c>
      <c r="C14" s="13" t="s">
        <v>11</v>
      </c>
      <c r="D14" s="25"/>
      <c r="E14" s="14"/>
      <c r="F14" s="31"/>
    </row>
    <row r="15" spans="1:6" ht="16.05" customHeight="1" x14ac:dyDescent="0.3">
      <c r="A15" s="11" t="s">
        <v>759</v>
      </c>
      <c r="B15" s="12" t="s">
        <v>760</v>
      </c>
      <c r="C15" s="13"/>
      <c r="D15" s="25"/>
      <c r="E15" s="14"/>
      <c r="F15" s="31"/>
    </row>
    <row r="16" spans="1:6" ht="16.05" customHeight="1" x14ac:dyDescent="0.3">
      <c r="A16" s="15" t="s">
        <v>761</v>
      </c>
      <c r="B16" s="16" t="s">
        <v>762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763</v>
      </c>
      <c r="B17" s="12" t="s">
        <v>764</v>
      </c>
      <c r="C17" s="13" t="s">
        <v>11</v>
      </c>
      <c r="D17" s="25"/>
      <c r="E17" s="14">
        <v>1</v>
      </c>
      <c r="F17" s="31"/>
    </row>
    <row r="18" spans="1:6" ht="16.05" customHeight="1" x14ac:dyDescent="0.3">
      <c r="A18" s="15" t="s">
        <v>765</v>
      </c>
      <c r="B18" s="16" t="s">
        <v>766</v>
      </c>
      <c r="C18" s="13"/>
      <c r="D18" s="25"/>
      <c r="E18" s="14"/>
      <c r="F18" s="31"/>
    </row>
    <row r="19" spans="1:6" ht="16.05" customHeight="1" x14ac:dyDescent="0.3">
      <c r="A19" s="11" t="s">
        <v>767</v>
      </c>
      <c r="B19" s="12" t="s">
        <v>65</v>
      </c>
      <c r="C19" s="13" t="s">
        <v>11</v>
      </c>
      <c r="D19" s="25"/>
      <c r="E19" s="14"/>
      <c r="F19" s="31"/>
    </row>
    <row r="20" spans="1:6" ht="16.05" customHeight="1" x14ac:dyDescent="0.3">
      <c r="A20" s="15" t="s">
        <v>768</v>
      </c>
      <c r="B20" s="16" t="s">
        <v>769</v>
      </c>
      <c r="C20" s="13"/>
      <c r="D20" s="25"/>
      <c r="E20" s="14"/>
      <c r="F20" s="31"/>
    </row>
    <row r="21" spans="1:6" ht="16.05" customHeight="1" x14ac:dyDescent="0.3">
      <c r="A21" s="11" t="s">
        <v>770</v>
      </c>
      <c r="B21" s="12" t="s">
        <v>771</v>
      </c>
      <c r="C21" s="13" t="s">
        <v>11</v>
      </c>
      <c r="D21" s="25"/>
      <c r="E21" s="14">
        <v>1</v>
      </c>
      <c r="F21" s="31">
        <v>1</v>
      </c>
    </row>
    <row r="22" spans="1:6" ht="16.05" customHeight="1" x14ac:dyDescent="0.3">
      <c r="A22" s="15" t="s">
        <v>772</v>
      </c>
      <c r="B22" s="16" t="s">
        <v>773</v>
      </c>
      <c r="C22" s="13" t="s">
        <v>11</v>
      </c>
      <c r="D22" s="25"/>
      <c r="E22" s="14">
        <v>1</v>
      </c>
      <c r="F22" s="31"/>
    </row>
    <row r="23" spans="1:6" ht="16.05" customHeight="1" x14ac:dyDescent="0.3">
      <c r="A23" s="11" t="s">
        <v>774</v>
      </c>
      <c r="B23" s="12" t="s">
        <v>775</v>
      </c>
      <c r="C23" s="13"/>
      <c r="D23" s="25"/>
      <c r="E23" s="14"/>
      <c r="F23" s="31"/>
    </row>
    <row r="24" spans="1:6" ht="16.05" customHeight="1" x14ac:dyDescent="0.3">
      <c r="A24" s="15" t="s">
        <v>776</v>
      </c>
      <c r="B24" s="16" t="s">
        <v>740</v>
      </c>
      <c r="C24" s="13" t="s">
        <v>11</v>
      </c>
      <c r="D24" s="25"/>
      <c r="E24" s="14"/>
      <c r="F24" s="31"/>
    </row>
    <row r="25" spans="1:6" ht="16.05" customHeight="1" x14ac:dyDescent="0.3">
      <c r="A25" s="11" t="s">
        <v>777</v>
      </c>
      <c r="B25" s="12" t="s">
        <v>778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779</v>
      </c>
      <c r="B26" s="16" t="s">
        <v>780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781</v>
      </c>
      <c r="B27" s="12" t="s">
        <v>782</v>
      </c>
      <c r="C27" s="13" t="s">
        <v>11</v>
      </c>
      <c r="D27" s="25"/>
      <c r="E27" s="14"/>
      <c r="F27" s="31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8"/>
  <sheetViews>
    <sheetView workbookViewId="0">
      <pane ySplit="2" topLeftCell="A11" activePane="bottomLeft" state="frozen"/>
      <selection pane="bottomLeft" activeCell="E25" sqref="E2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6" t="s">
        <v>67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783</v>
      </c>
      <c r="B3" s="12" t="s">
        <v>784</v>
      </c>
      <c r="C3" s="13" t="s">
        <v>11</v>
      </c>
      <c r="D3" s="25"/>
      <c r="E3" s="14">
        <v>5</v>
      </c>
      <c r="F3" s="31"/>
    </row>
    <row r="4" spans="1:6" ht="16.05" customHeight="1" x14ac:dyDescent="0.3">
      <c r="A4" s="15" t="s">
        <v>785</v>
      </c>
      <c r="B4" s="16" t="s">
        <v>786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787</v>
      </c>
      <c r="B5" s="12" t="s">
        <v>69</v>
      </c>
      <c r="C5" s="13" t="s">
        <v>11</v>
      </c>
      <c r="D5" s="25"/>
      <c r="E5" s="14">
        <v>1</v>
      </c>
      <c r="F5" s="31"/>
    </row>
    <row r="6" spans="1:6" ht="16.05" customHeight="1" x14ac:dyDescent="0.3">
      <c r="A6" s="15" t="s">
        <v>788</v>
      </c>
      <c r="B6" s="16" t="s">
        <v>789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790</v>
      </c>
      <c r="B7" s="12" t="s">
        <v>791</v>
      </c>
      <c r="C7" s="13" t="s">
        <v>11</v>
      </c>
      <c r="D7" s="25"/>
      <c r="E7" s="14">
        <v>1</v>
      </c>
      <c r="F7" s="31"/>
    </row>
    <row r="8" spans="1:6" ht="16.05" customHeight="1" x14ac:dyDescent="0.3">
      <c r="A8" s="15" t="s">
        <v>792</v>
      </c>
      <c r="B8" s="16" t="s">
        <v>793</v>
      </c>
      <c r="C8" s="13" t="s">
        <v>11</v>
      </c>
      <c r="D8" s="25"/>
      <c r="E8" s="14"/>
      <c r="F8" s="31"/>
    </row>
    <row r="9" spans="1:6" ht="16.05" customHeight="1" x14ac:dyDescent="0.3">
      <c r="A9" s="11" t="s">
        <v>794</v>
      </c>
      <c r="B9" s="12" t="s">
        <v>795</v>
      </c>
      <c r="C9" s="13" t="s">
        <v>11</v>
      </c>
      <c r="D9" s="25"/>
      <c r="E9" s="14">
        <v>1</v>
      </c>
      <c r="F9" s="31"/>
    </row>
    <row r="10" spans="1:6" ht="16.05" customHeight="1" x14ac:dyDescent="0.3">
      <c r="A10" s="15" t="s">
        <v>796</v>
      </c>
      <c r="B10" s="16" t="s">
        <v>797</v>
      </c>
      <c r="C10" s="13"/>
      <c r="D10" s="25"/>
      <c r="E10" s="14"/>
      <c r="F10" s="31"/>
    </row>
    <row r="11" spans="1:6" ht="16.05" customHeight="1" x14ac:dyDescent="0.3">
      <c r="A11" s="11" t="s">
        <v>798</v>
      </c>
      <c r="B11" s="12" t="s">
        <v>799</v>
      </c>
      <c r="C11" s="13" t="s">
        <v>11</v>
      </c>
      <c r="D11" s="25"/>
      <c r="E11" s="14"/>
      <c r="F11" s="31"/>
    </row>
    <row r="12" spans="1:6" ht="16.05" customHeight="1" x14ac:dyDescent="0.3">
      <c r="A12" s="15" t="s">
        <v>800</v>
      </c>
      <c r="B12" s="16" t="s">
        <v>801</v>
      </c>
      <c r="C12" s="13" t="s">
        <v>11</v>
      </c>
      <c r="D12" s="25"/>
      <c r="E12" s="14"/>
      <c r="F12" s="31"/>
    </row>
    <row r="13" spans="1:6" ht="16.05" customHeight="1" x14ac:dyDescent="0.3">
      <c r="A13" s="11" t="s">
        <v>802</v>
      </c>
      <c r="B13" s="12" t="s">
        <v>803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804</v>
      </c>
      <c r="B14" s="16" t="s">
        <v>805</v>
      </c>
      <c r="C14" s="13"/>
      <c r="D14" s="25"/>
      <c r="E14" s="14"/>
      <c r="F14" s="31"/>
    </row>
    <row r="15" spans="1:6" ht="16.05" customHeight="1" x14ac:dyDescent="0.3">
      <c r="A15" s="11" t="s">
        <v>806</v>
      </c>
      <c r="B15" s="12" t="s">
        <v>503</v>
      </c>
      <c r="C15" s="13"/>
      <c r="D15" s="25" t="s">
        <v>11</v>
      </c>
      <c r="E15" s="14"/>
      <c r="F15" s="31"/>
    </row>
    <row r="16" spans="1:6" ht="16.05" customHeight="1" x14ac:dyDescent="0.3">
      <c r="A16" s="15" t="s">
        <v>807</v>
      </c>
      <c r="B16" s="16" t="s">
        <v>808</v>
      </c>
      <c r="C16" s="13" t="s">
        <v>11</v>
      </c>
      <c r="D16" s="25"/>
      <c r="E16" s="14">
        <v>2</v>
      </c>
      <c r="F16" s="31"/>
    </row>
    <row r="17" spans="1:6" ht="16.05" customHeight="1" x14ac:dyDescent="0.3">
      <c r="A17" s="11" t="s">
        <v>809</v>
      </c>
      <c r="B17" s="12" t="s">
        <v>810</v>
      </c>
      <c r="C17" s="13"/>
      <c r="D17" s="25"/>
      <c r="E17" s="14">
        <v>1</v>
      </c>
      <c r="F17" s="31"/>
    </row>
    <row r="18" spans="1:6" ht="16.05" customHeight="1" x14ac:dyDescent="0.3">
      <c r="A18" s="15" t="s">
        <v>811</v>
      </c>
      <c r="B18" s="16" t="s">
        <v>812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813</v>
      </c>
      <c r="B19" s="12" t="s">
        <v>814</v>
      </c>
      <c r="C19" s="13" t="s">
        <v>11</v>
      </c>
      <c r="D19" s="25"/>
      <c r="E19" s="14"/>
      <c r="F19" s="31"/>
    </row>
    <row r="20" spans="1:6" ht="16.05" customHeight="1" x14ac:dyDescent="0.3">
      <c r="A20" s="15" t="s">
        <v>815</v>
      </c>
      <c r="B20" s="16" t="s">
        <v>816</v>
      </c>
      <c r="C20" s="13"/>
      <c r="D20" s="25"/>
      <c r="E20" s="14"/>
      <c r="F20" s="31"/>
    </row>
    <row r="21" spans="1:6" ht="16.05" customHeight="1" x14ac:dyDescent="0.3">
      <c r="A21" s="11" t="s">
        <v>817</v>
      </c>
      <c r="B21" s="12" t="s">
        <v>818</v>
      </c>
      <c r="C21" s="13" t="s">
        <v>11</v>
      </c>
      <c r="D21" s="25"/>
      <c r="E21" s="14"/>
      <c r="F21" s="31"/>
    </row>
    <row r="22" spans="1:6" ht="16.05" customHeight="1" x14ac:dyDescent="0.3">
      <c r="A22" s="15" t="s">
        <v>819</v>
      </c>
      <c r="B22" s="16" t="s">
        <v>69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820</v>
      </c>
      <c r="B23" s="12" t="s">
        <v>821</v>
      </c>
      <c r="C23" s="13" t="s">
        <v>11</v>
      </c>
      <c r="D23" s="25"/>
      <c r="E23" s="14">
        <v>2</v>
      </c>
      <c r="F23" s="31"/>
    </row>
    <row r="24" spans="1:6" ht="16.05" customHeight="1" x14ac:dyDescent="0.3">
      <c r="A24" s="15" t="s">
        <v>822</v>
      </c>
      <c r="B24" s="16" t="s">
        <v>823</v>
      </c>
      <c r="C24" s="13"/>
      <c r="D24" s="25"/>
      <c r="E24" s="14"/>
      <c r="F24" s="31"/>
    </row>
    <row r="25" spans="1:6" ht="16.05" customHeight="1" x14ac:dyDescent="0.3">
      <c r="A25" s="11" t="s">
        <v>824</v>
      </c>
      <c r="B25" s="12" t="s">
        <v>825</v>
      </c>
      <c r="C25" s="13" t="s">
        <v>11</v>
      </c>
      <c r="D25" s="25"/>
      <c r="E25" s="14">
        <v>1</v>
      </c>
      <c r="F25" s="31"/>
    </row>
    <row r="26" spans="1:6" ht="16.05" customHeight="1" x14ac:dyDescent="0.3">
      <c r="A26" s="15" t="s">
        <v>826</v>
      </c>
      <c r="B26" s="16" t="s">
        <v>827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828</v>
      </c>
      <c r="B27" s="12" t="s">
        <v>829</v>
      </c>
      <c r="C27" s="13"/>
      <c r="D27" s="25"/>
      <c r="E27" s="14"/>
      <c r="F27" s="31"/>
    </row>
    <row r="28" spans="1:6" ht="16.05" customHeight="1" x14ac:dyDescent="0.3">
      <c r="A28" s="15" t="s">
        <v>830</v>
      </c>
      <c r="B28" s="16" t="s">
        <v>831</v>
      </c>
      <c r="C28" s="13" t="s">
        <v>11</v>
      </c>
      <c r="D28" s="25"/>
      <c r="E28" s="14"/>
      <c r="F28" s="31"/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8"/>
  <sheetViews>
    <sheetView workbookViewId="0">
      <pane ySplit="2" topLeftCell="A10" activePane="bottomLeft" state="frozen"/>
      <selection pane="bottomLeft" activeCell="E26" sqref="E2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6" t="s">
        <v>71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832</v>
      </c>
      <c r="B3" s="12" t="s">
        <v>833</v>
      </c>
      <c r="C3" s="13"/>
      <c r="D3" s="25" t="s">
        <v>11</v>
      </c>
      <c r="E3" s="14"/>
      <c r="F3" s="31"/>
    </row>
    <row r="4" spans="1:6" ht="16.05" customHeight="1" x14ac:dyDescent="0.3">
      <c r="A4" s="15" t="s">
        <v>834</v>
      </c>
      <c r="B4" s="16" t="s">
        <v>835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836</v>
      </c>
      <c r="B5" s="12" t="s">
        <v>837</v>
      </c>
      <c r="C5" s="13" t="s">
        <v>11</v>
      </c>
      <c r="D5" s="25"/>
      <c r="E5" s="14">
        <v>2</v>
      </c>
      <c r="F5" s="31">
        <v>1</v>
      </c>
    </row>
    <row r="6" spans="1:6" ht="16.05" customHeight="1" x14ac:dyDescent="0.3">
      <c r="A6" s="15" t="s">
        <v>838</v>
      </c>
      <c r="B6" s="16" t="s">
        <v>839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840</v>
      </c>
      <c r="B7" s="12" t="s">
        <v>841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842</v>
      </c>
      <c r="B8" s="16" t="s">
        <v>843</v>
      </c>
      <c r="C8" s="13" t="s">
        <v>11</v>
      </c>
      <c r="D8" s="25"/>
      <c r="E8" s="14"/>
      <c r="F8" s="31"/>
    </row>
    <row r="9" spans="1:6" ht="16.05" customHeight="1" x14ac:dyDescent="0.3">
      <c r="A9" s="11" t="s">
        <v>844</v>
      </c>
      <c r="B9" s="12" t="s">
        <v>845</v>
      </c>
      <c r="C9" s="13"/>
      <c r="D9" s="25"/>
      <c r="E9" s="14">
        <v>1</v>
      </c>
      <c r="F9" s="31"/>
    </row>
    <row r="10" spans="1:6" ht="16.05" customHeight="1" x14ac:dyDescent="0.3">
      <c r="A10" s="15" t="s">
        <v>846</v>
      </c>
      <c r="B10" s="16" t="s">
        <v>847</v>
      </c>
      <c r="C10" s="13" t="s">
        <v>11</v>
      </c>
      <c r="D10" s="25"/>
      <c r="E10" s="14">
        <v>2</v>
      </c>
      <c r="F10" s="31"/>
    </row>
    <row r="11" spans="1:6" ht="16.05" customHeight="1" x14ac:dyDescent="0.3">
      <c r="A11" s="11" t="s">
        <v>848</v>
      </c>
      <c r="B11" s="12" t="s">
        <v>849</v>
      </c>
      <c r="C11" s="13"/>
      <c r="D11" s="25"/>
      <c r="E11" s="14"/>
      <c r="F11" s="31"/>
    </row>
    <row r="12" spans="1:6" ht="16.05" customHeight="1" x14ac:dyDescent="0.3">
      <c r="A12" s="15" t="s">
        <v>850</v>
      </c>
      <c r="B12" s="16" t="s">
        <v>851</v>
      </c>
      <c r="C12" s="13" t="s">
        <v>11</v>
      </c>
      <c r="D12" s="25"/>
      <c r="E12" s="14">
        <v>3</v>
      </c>
      <c r="F12" s="31"/>
    </row>
    <row r="13" spans="1:6" ht="16.05" customHeight="1" x14ac:dyDescent="0.3">
      <c r="A13" s="11" t="s">
        <v>852</v>
      </c>
      <c r="B13" s="12" t="s">
        <v>853</v>
      </c>
      <c r="C13" s="13" t="s">
        <v>11</v>
      </c>
      <c r="D13" s="25"/>
      <c r="E13" s="14">
        <v>1</v>
      </c>
      <c r="F13" s="31"/>
    </row>
    <row r="14" spans="1:6" ht="16.05" customHeight="1" x14ac:dyDescent="0.3">
      <c r="A14" s="15" t="s">
        <v>854</v>
      </c>
      <c r="B14" s="16" t="s">
        <v>74</v>
      </c>
      <c r="C14" s="13" t="s">
        <v>11</v>
      </c>
      <c r="D14" s="25"/>
      <c r="E14" s="14">
        <v>2</v>
      </c>
      <c r="F14" s="31"/>
    </row>
    <row r="15" spans="1:6" ht="16.05" customHeight="1" x14ac:dyDescent="0.3">
      <c r="A15" s="11" t="s">
        <v>855</v>
      </c>
      <c r="B15" s="12" t="s">
        <v>856</v>
      </c>
      <c r="C15" s="13" t="s">
        <v>11</v>
      </c>
      <c r="D15" s="25"/>
      <c r="E15" s="14"/>
      <c r="F15" s="31"/>
    </row>
    <row r="16" spans="1:6" ht="16.05" customHeight="1" x14ac:dyDescent="0.3">
      <c r="A16" s="15" t="s">
        <v>857</v>
      </c>
      <c r="B16" s="16" t="s">
        <v>858</v>
      </c>
      <c r="C16" s="13" t="s">
        <v>11</v>
      </c>
      <c r="D16" s="25"/>
      <c r="E16" s="14">
        <v>2</v>
      </c>
      <c r="F16" s="31"/>
    </row>
    <row r="17" spans="1:6" ht="16.05" customHeight="1" x14ac:dyDescent="0.3">
      <c r="A17" s="11" t="s">
        <v>859</v>
      </c>
      <c r="B17" s="12" t="s">
        <v>860</v>
      </c>
      <c r="C17" s="13"/>
      <c r="D17" s="25"/>
      <c r="E17" s="14">
        <v>1</v>
      </c>
      <c r="F17" s="31"/>
    </row>
    <row r="18" spans="1:6" ht="16.05" customHeight="1" x14ac:dyDescent="0.3">
      <c r="A18" s="15" t="s">
        <v>861</v>
      </c>
      <c r="B18" s="16" t="s">
        <v>862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863</v>
      </c>
      <c r="B19" s="12" t="s">
        <v>73</v>
      </c>
      <c r="C19" s="13" t="s">
        <v>11</v>
      </c>
      <c r="D19" s="25"/>
      <c r="E19" s="14">
        <v>1</v>
      </c>
      <c r="F19" s="31"/>
    </row>
    <row r="20" spans="1:6" ht="16.05" customHeight="1" x14ac:dyDescent="0.3">
      <c r="A20" s="15" t="s">
        <v>864</v>
      </c>
      <c r="B20" s="16" t="s">
        <v>837</v>
      </c>
      <c r="C20" s="13" t="s">
        <v>11</v>
      </c>
      <c r="D20" s="25"/>
      <c r="E20" s="14">
        <v>1</v>
      </c>
      <c r="F20" s="31"/>
    </row>
    <row r="21" spans="1:6" ht="16.05" customHeight="1" x14ac:dyDescent="0.3">
      <c r="A21" s="11" t="s">
        <v>865</v>
      </c>
      <c r="B21" s="12" t="s">
        <v>866</v>
      </c>
      <c r="C21" s="13" t="s">
        <v>11</v>
      </c>
      <c r="D21" s="25"/>
      <c r="E21" s="14">
        <v>1</v>
      </c>
      <c r="F21" s="31"/>
    </row>
    <row r="22" spans="1:6" ht="16.05" customHeight="1" x14ac:dyDescent="0.3">
      <c r="A22" s="15" t="s">
        <v>867</v>
      </c>
      <c r="B22" s="16" t="s">
        <v>868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869</v>
      </c>
      <c r="B23" s="12" t="s">
        <v>870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871</v>
      </c>
      <c r="B24" s="16" t="s">
        <v>872</v>
      </c>
      <c r="C24" s="13" t="s">
        <v>11</v>
      </c>
      <c r="D24" s="25"/>
      <c r="E24" s="14">
        <v>1</v>
      </c>
      <c r="F24" s="31"/>
    </row>
    <row r="25" spans="1:6" ht="16.05" customHeight="1" x14ac:dyDescent="0.3">
      <c r="A25" s="11" t="s">
        <v>873</v>
      </c>
      <c r="B25" s="12" t="s">
        <v>874</v>
      </c>
      <c r="C25" s="13" t="s">
        <v>11</v>
      </c>
      <c r="D25" s="25"/>
      <c r="E25" s="14">
        <v>1</v>
      </c>
      <c r="F25" s="31"/>
    </row>
    <row r="26" spans="1:6" ht="16.05" customHeight="1" x14ac:dyDescent="0.3">
      <c r="A26" s="15" t="s">
        <v>875</v>
      </c>
      <c r="B26" s="16" t="s">
        <v>876</v>
      </c>
      <c r="C26" s="13"/>
      <c r="D26" s="25"/>
      <c r="E26" s="14">
        <v>1</v>
      </c>
      <c r="F26" s="31"/>
    </row>
    <row r="27" spans="1:6" ht="16.05" customHeight="1" x14ac:dyDescent="0.3">
      <c r="A27" s="11" t="s">
        <v>877</v>
      </c>
      <c r="B27" s="12" t="s">
        <v>878</v>
      </c>
      <c r="C27" s="13"/>
      <c r="D27" s="25"/>
      <c r="E27" s="14"/>
      <c r="F27" s="31"/>
    </row>
    <row r="28" spans="1:6" ht="16.05" customHeight="1" x14ac:dyDescent="0.3">
      <c r="A28" s="15" t="s">
        <v>879</v>
      </c>
      <c r="B28" s="16" t="s">
        <v>880</v>
      </c>
      <c r="C28" s="13"/>
      <c r="D28" s="25"/>
      <c r="E28" s="14"/>
      <c r="F28" s="31"/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7"/>
  <sheetViews>
    <sheetView workbookViewId="0">
      <pane ySplit="2" topLeftCell="A17" activePane="bottomLeft" state="frozen"/>
      <selection pane="bottomLeft" activeCell="E6" sqref="E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2" t="s">
        <v>75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881</v>
      </c>
      <c r="B3" s="12" t="s">
        <v>882</v>
      </c>
      <c r="C3" s="13" t="s">
        <v>11</v>
      </c>
      <c r="D3" s="25"/>
      <c r="E3" s="14">
        <v>1</v>
      </c>
      <c r="F3" s="31"/>
    </row>
    <row r="4" spans="1:6" ht="16.05" customHeight="1" x14ac:dyDescent="0.3">
      <c r="A4" s="15" t="s">
        <v>883</v>
      </c>
      <c r="B4" s="16" t="s">
        <v>884</v>
      </c>
      <c r="C4" s="13" t="s">
        <v>11</v>
      </c>
      <c r="D4" s="25"/>
      <c r="E4" s="14">
        <v>2</v>
      </c>
      <c r="F4" s="31"/>
    </row>
    <row r="5" spans="1:6" ht="16.05" customHeight="1" x14ac:dyDescent="0.3">
      <c r="A5" s="11" t="s">
        <v>885</v>
      </c>
      <c r="B5" s="12" t="s">
        <v>886</v>
      </c>
      <c r="C5" s="13" t="s">
        <v>11</v>
      </c>
      <c r="D5" s="25"/>
      <c r="E5" s="14"/>
      <c r="F5" s="31"/>
    </row>
    <row r="6" spans="1:6" ht="16.05" customHeight="1" x14ac:dyDescent="0.3">
      <c r="A6" s="15" t="s">
        <v>887</v>
      </c>
      <c r="B6" s="16" t="s">
        <v>888</v>
      </c>
      <c r="C6" s="13" t="s">
        <v>11</v>
      </c>
      <c r="D6" s="25"/>
      <c r="E6" s="14">
        <v>2</v>
      </c>
      <c r="F6" s="31"/>
    </row>
    <row r="7" spans="1:6" ht="16.05" customHeight="1" x14ac:dyDescent="0.3">
      <c r="A7" s="11" t="s">
        <v>889</v>
      </c>
      <c r="B7" s="12" t="s">
        <v>890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891</v>
      </c>
      <c r="B8" s="16" t="s">
        <v>892</v>
      </c>
      <c r="C8" s="13" t="s">
        <v>11</v>
      </c>
      <c r="D8" s="25"/>
      <c r="E8" s="14"/>
      <c r="F8" s="31"/>
    </row>
    <row r="9" spans="1:6" ht="16.05" customHeight="1" x14ac:dyDescent="0.3">
      <c r="A9" s="11" t="s">
        <v>893</v>
      </c>
      <c r="B9" s="12" t="s">
        <v>894</v>
      </c>
      <c r="C9" s="13" t="s">
        <v>11</v>
      </c>
      <c r="D9" s="25"/>
      <c r="E9" s="14">
        <v>1</v>
      </c>
      <c r="F9" s="31"/>
    </row>
    <row r="10" spans="1:6" ht="16.05" customHeight="1" x14ac:dyDescent="0.3">
      <c r="A10" s="15" t="s">
        <v>895</v>
      </c>
      <c r="B10" s="16" t="s">
        <v>896</v>
      </c>
      <c r="C10" s="13"/>
      <c r="D10" s="25"/>
      <c r="E10" s="14"/>
      <c r="F10" s="31"/>
    </row>
    <row r="11" spans="1:6" ht="16.05" customHeight="1" x14ac:dyDescent="0.3">
      <c r="A11" s="11" t="s">
        <v>897</v>
      </c>
      <c r="B11" s="12" t="s">
        <v>898</v>
      </c>
      <c r="C11" s="13" t="s">
        <v>11</v>
      </c>
      <c r="D11" s="25"/>
      <c r="E11" s="14">
        <v>1</v>
      </c>
      <c r="F11" s="31"/>
    </row>
    <row r="12" spans="1:6" ht="16.05" customHeight="1" x14ac:dyDescent="0.3">
      <c r="A12" s="15" t="s">
        <v>899</v>
      </c>
      <c r="B12" s="16" t="s">
        <v>900</v>
      </c>
      <c r="C12" s="13" t="s">
        <v>11</v>
      </c>
      <c r="D12" s="25"/>
      <c r="E12" s="14"/>
      <c r="F12" s="31"/>
    </row>
    <row r="13" spans="1:6" ht="16.05" customHeight="1" x14ac:dyDescent="0.3">
      <c r="A13" s="11" t="s">
        <v>901</v>
      </c>
      <c r="B13" s="12" t="s">
        <v>902</v>
      </c>
      <c r="C13" s="13"/>
      <c r="D13" s="25" t="s">
        <v>11</v>
      </c>
      <c r="E13" s="14"/>
      <c r="F13" s="31"/>
    </row>
    <row r="14" spans="1:6" ht="16.05" customHeight="1" x14ac:dyDescent="0.3">
      <c r="A14" s="15" t="s">
        <v>903</v>
      </c>
      <c r="B14" s="16" t="s">
        <v>904</v>
      </c>
      <c r="C14" s="13"/>
      <c r="D14" s="25" t="s">
        <v>11</v>
      </c>
      <c r="E14" s="14"/>
      <c r="F14" s="31"/>
    </row>
    <row r="15" spans="1:6" ht="16.05" customHeight="1" x14ac:dyDescent="0.3">
      <c r="A15" s="11" t="s">
        <v>905</v>
      </c>
      <c r="B15" s="12" t="s">
        <v>906</v>
      </c>
      <c r="C15" s="13"/>
      <c r="D15" s="25"/>
      <c r="E15" s="14"/>
      <c r="F15" s="31"/>
    </row>
    <row r="16" spans="1:6" ht="16.05" customHeight="1" x14ac:dyDescent="0.3">
      <c r="A16" s="15" t="s">
        <v>907</v>
      </c>
      <c r="B16" s="16" t="s">
        <v>908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909</v>
      </c>
      <c r="B17" s="12" t="s">
        <v>78</v>
      </c>
      <c r="C17" s="13"/>
      <c r="D17" s="25" t="s">
        <v>11</v>
      </c>
      <c r="E17" s="14"/>
      <c r="F17" s="31"/>
    </row>
    <row r="18" spans="1:6" ht="16.05" customHeight="1" x14ac:dyDescent="0.3">
      <c r="A18" s="15" t="s">
        <v>910</v>
      </c>
      <c r="B18" s="16" t="s">
        <v>911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912</v>
      </c>
      <c r="B19" s="12" t="s">
        <v>913</v>
      </c>
      <c r="C19" s="13" t="s">
        <v>11</v>
      </c>
      <c r="D19" s="25"/>
      <c r="E19" s="14"/>
      <c r="F19" s="31"/>
    </row>
    <row r="20" spans="1:6" ht="16.05" customHeight="1" x14ac:dyDescent="0.3">
      <c r="A20" s="15" t="s">
        <v>914</v>
      </c>
      <c r="B20" s="16" t="s">
        <v>915</v>
      </c>
      <c r="C20" s="13"/>
      <c r="D20" s="25"/>
      <c r="E20" s="14">
        <v>3</v>
      </c>
      <c r="F20" s="31"/>
    </row>
    <row r="21" spans="1:6" ht="16.05" customHeight="1" x14ac:dyDescent="0.3">
      <c r="A21" s="11" t="s">
        <v>916</v>
      </c>
      <c r="B21" s="12" t="s">
        <v>77</v>
      </c>
      <c r="C21" s="13" t="s">
        <v>11</v>
      </c>
      <c r="D21" s="25"/>
      <c r="E21" s="14">
        <v>2</v>
      </c>
      <c r="F21" s="31"/>
    </row>
    <row r="22" spans="1:6" ht="16.05" customHeight="1" x14ac:dyDescent="0.3">
      <c r="A22" s="15" t="s">
        <v>917</v>
      </c>
      <c r="B22" s="16" t="s">
        <v>918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919</v>
      </c>
      <c r="B23" s="12" t="s">
        <v>920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921</v>
      </c>
      <c r="B24" s="16" t="s">
        <v>922</v>
      </c>
      <c r="C24" s="13" t="s">
        <v>11</v>
      </c>
      <c r="D24" s="25"/>
      <c r="E24" s="14"/>
      <c r="F24" s="31"/>
    </row>
    <row r="25" spans="1:6" ht="16.05" customHeight="1" x14ac:dyDescent="0.3">
      <c r="A25" s="11" t="s">
        <v>923</v>
      </c>
      <c r="B25" s="12" t="s">
        <v>924</v>
      </c>
      <c r="C25" s="13"/>
      <c r="D25" s="25"/>
      <c r="E25" s="14"/>
      <c r="F25" s="31"/>
    </row>
    <row r="26" spans="1:6" ht="16.05" customHeight="1" x14ac:dyDescent="0.3">
      <c r="A26" s="15" t="s">
        <v>925</v>
      </c>
      <c r="B26" s="16" t="s">
        <v>886</v>
      </c>
      <c r="C26" s="13"/>
      <c r="D26" s="25" t="s">
        <v>11</v>
      </c>
      <c r="E26" s="14"/>
      <c r="F26" s="31"/>
    </row>
    <row r="27" spans="1:6" ht="16.05" customHeight="1" x14ac:dyDescent="0.3">
      <c r="A27" s="11" t="s">
        <v>926</v>
      </c>
      <c r="B27" s="12" t="s">
        <v>927</v>
      </c>
      <c r="C27" s="13" t="s">
        <v>11</v>
      </c>
      <c r="D27" s="25"/>
      <c r="E27" s="14"/>
      <c r="F27" s="31"/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6"/>
  <sheetViews>
    <sheetView workbookViewId="0">
      <pane ySplit="2" topLeftCell="A12" activePane="bottomLeft" state="frozen"/>
      <selection pane="bottomLeft" activeCell="G18" sqref="G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7" t="s">
        <v>79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928</v>
      </c>
      <c r="B3" s="12" t="s">
        <v>929</v>
      </c>
      <c r="C3" s="13" t="s">
        <v>11</v>
      </c>
      <c r="D3" s="25"/>
      <c r="E3" s="14">
        <v>3</v>
      </c>
      <c r="F3" s="31"/>
    </row>
    <row r="4" spans="1:6" ht="16.05" customHeight="1" x14ac:dyDescent="0.3">
      <c r="A4" s="15" t="s">
        <v>930</v>
      </c>
      <c r="B4" s="16" t="s">
        <v>931</v>
      </c>
      <c r="C4" s="13" t="s">
        <v>11</v>
      </c>
      <c r="D4" s="25"/>
      <c r="E4" s="14">
        <v>2</v>
      </c>
      <c r="F4" s="31"/>
    </row>
    <row r="5" spans="1:6" ht="16.05" customHeight="1" x14ac:dyDescent="0.3">
      <c r="A5" s="11" t="s">
        <v>932</v>
      </c>
      <c r="B5" s="12" t="s">
        <v>933</v>
      </c>
      <c r="C5" s="13" t="s">
        <v>11</v>
      </c>
      <c r="D5" s="25"/>
      <c r="E5" s="14"/>
      <c r="F5" s="31">
        <v>1</v>
      </c>
    </row>
    <row r="6" spans="1:6" ht="16.05" customHeight="1" x14ac:dyDescent="0.3">
      <c r="A6" s="15" t="s">
        <v>934</v>
      </c>
      <c r="B6" s="16" t="s">
        <v>935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936</v>
      </c>
      <c r="B7" s="12" t="s">
        <v>937</v>
      </c>
      <c r="C7" s="13" t="s">
        <v>11</v>
      </c>
      <c r="D7" s="25"/>
      <c r="E7" s="14"/>
      <c r="F7" s="31"/>
    </row>
    <row r="8" spans="1:6" ht="16.05" customHeight="1" x14ac:dyDescent="0.3">
      <c r="A8" s="15" t="s">
        <v>938</v>
      </c>
      <c r="B8" s="16" t="s">
        <v>939</v>
      </c>
      <c r="C8" s="13" t="s">
        <v>11</v>
      </c>
      <c r="D8" s="25"/>
      <c r="E8" s="14"/>
      <c r="F8" s="31"/>
    </row>
    <row r="9" spans="1:6" ht="16.05" customHeight="1" x14ac:dyDescent="0.3">
      <c r="A9" s="11" t="s">
        <v>940</v>
      </c>
      <c r="B9" s="12" t="s">
        <v>941</v>
      </c>
      <c r="C9" s="13" t="s">
        <v>11</v>
      </c>
      <c r="D9" s="25"/>
      <c r="E9" s="14">
        <v>4</v>
      </c>
      <c r="F9" s="31"/>
    </row>
    <row r="10" spans="1:6" ht="16.05" customHeight="1" x14ac:dyDescent="0.3">
      <c r="A10" s="15" t="s">
        <v>942</v>
      </c>
      <c r="B10" s="16" t="s">
        <v>943</v>
      </c>
      <c r="C10" s="13" t="s">
        <v>11</v>
      </c>
      <c r="D10" s="25"/>
      <c r="E10" s="14"/>
      <c r="F10" s="31"/>
    </row>
    <row r="11" spans="1:6" ht="16.05" customHeight="1" x14ac:dyDescent="0.3">
      <c r="A11" s="11" t="s">
        <v>944</v>
      </c>
      <c r="B11" s="12" t="s">
        <v>82</v>
      </c>
      <c r="C11" s="13" t="s">
        <v>11</v>
      </c>
      <c r="D11" s="25"/>
      <c r="E11" s="14">
        <v>1</v>
      </c>
      <c r="F11" s="31"/>
    </row>
    <row r="12" spans="1:6" ht="16.05" customHeight="1" x14ac:dyDescent="0.3">
      <c r="A12" s="15" t="s">
        <v>945</v>
      </c>
      <c r="B12" s="16" t="s">
        <v>946</v>
      </c>
      <c r="C12" s="13"/>
      <c r="D12" s="25"/>
      <c r="E12" s="14"/>
      <c r="F12" s="31"/>
    </row>
    <row r="13" spans="1:6" ht="16.05" customHeight="1" x14ac:dyDescent="0.3">
      <c r="A13" s="11" t="s">
        <v>947</v>
      </c>
      <c r="B13" s="12" t="s">
        <v>948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949</v>
      </c>
      <c r="B14" s="16" t="s">
        <v>950</v>
      </c>
      <c r="C14" s="13" t="s">
        <v>11</v>
      </c>
      <c r="D14" s="25"/>
      <c r="E14" s="14">
        <v>1</v>
      </c>
      <c r="F14" s="31"/>
    </row>
    <row r="15" spans="1:6" ht="16.05" customHeight="1" x14ac:dyDescent="0.3">
      <c r="A15" s="11" t="s">
        <v>951</v>
      </c>
      <c r="B15" s="12" t="s">
        <v>952</v>
      </c>
      <c r="C15" s="13" t="s">
        <v>11</v>
      </c>
      <c r="D15" s="25"/>
      <c r="E15" s="14"/>
      <c r="F15" s="31"/>
    </row>
    <row r="16" spans="1:6" ht="16.05" customHeight="1" x14ac:dyDescent="0.3">
      <c r="A16" s="15" t="s">
        <v>953</v>
      </c>
      <c r="B16" s="16" t="s">
        <v>933</v>
      </c>
      <c r="C16" s="13" t="s">
        <v>11</v>
      </c>
      <c r="D16" s="25"/>
      <c r="E16" s="14">
        <v>1</v>
      </c>
      <c r="F16" s="31"/>
    </row>
    <row r="17" spans="1:6" ht="16.05" customHeight="1" x14ac:dyDescent="0.3">
      <c r="A17" s="11" t="s">
        <v>954</v>
      </c>
      <c r="B17" s="12" t="s">
        <v>955</v>
      </c>
      <c r="C17" s="13" t="s">
        <v>11</v>
      </c>
      <c r="D17" s="25"/>
      <c r="E17" s="14">
        <v>1</v>
      </c>
      <c r="F17" s="31"/>
    </row>
    <row r="18" spans="1:6" ht="16.05" customHeight="1" x14ac:dyDescent="0.3">
      <c r="A18" s="15" t="s">
        <v>956</v>
      </c>
      <c r="B18" s="16" t="s">
        <v>957</v>
      </c>
      <c r="C18" s="13"/>
      <c r="D18" s="25"/>
      <c r="E18" s="14"/>
      <c r="F18" s="31"/>
    </row>
    <row r="19" spans="1:6" ht="16.05" customHeight="1" x14ac:dyDescent="0.3">
      <c r="A19" s="11" t="s">
        <v>958</v>
      </c>
      <c r="B19" s="12" t="s">
        <v>959</v>
      </c>
      <c r="C19" s="13" t="s">
        <v>11</v>
      </c>
      <c r="D19" s="25"/>
      <c r="E19" s="14">
        <v>2</v>
      </c>
      <c r="F19" s="31"/>
    </row>
    <row r="20" spans="1:6" ht="16.05" customHeight="1" x14ac:dyDescent="0.3">
      <c r="A20" s="15" t="s">
        <v>960</v>
      </c>
      <c r="B20" s="16" t="s">
        <v>961</v>
      </c>
      <c r="C20" s="13" t="s">
        <v>11</v>
      </c>
      <c r="D20" s="25"/>
      <c r="E20" s="14"/>
      <c r="F20" s="31"/>
    </row>
    <row r="21" spans="1:6" ht="16.05" customHeight="1" x14ac:dyDescent="0.3">
      <c r="A21" s="11" t="s">
        <v>962</v>
      </c>
      <c r="B21" s="12" t="s">
        <v>963</v>
      </c>
      <c r="C21" s="13" t="s">
        <v>11</v>
      </c>
      <c r="D21" s="25"/>
      <c r="E21" s="14">
        <v>1</v>
      </c>
      <c r="F21" s="31"/>
    </row>
    <row r="22" spans="1:6" ht="16.05" customHeight="1" x14ac:dyDescent="0.3">
      <c r="A22" s="15" t="s">
        <v>964</v>
      </c>
      <c r="B22" s="16" t="s">
        <v>965</v>
      </c>
      <c r="C22" s="13" t="s">
        <v>11</v>
      </c>
      <c r="D22" s="25"/>
      <c r="E22" s="14">
        <v>2</v>
      </c>
      <c r="F22" s="31"/>
    </row>
    <row r="23" spans="1:6" ht="16.05" customHeight="1" x14ac:dyDescent="0.3">
      <c r="A23" s="11" t="s">
        <v>966</v>
      </c>
      <c r="B23" s="12" t="s">
        <v>967</v>
      </c>
      <c r="C23" s="13"/>
      <c r="D23" s="25"/>
      <c r="E23" s="14">
        <v>1</v>
      </c>
      <c r="F23" s="31"/>
    </row>
    <row r="24" spans="1:6" ht="16.05" customHeight="1" x14ac:dyDescent="0.3">
      <c r="A24" s="15" t="s">
        <v>968</v>
      </c>
      <c r="B24" s="16" t="s">
        <v>969</v>
      </c>
      <c r="C24" s="13" t="s">
        <v>11</v>
      </c>
      <c r="D24" s="25"/>
      <c r="E24" s="14">
        <v>1</v>
      </c>
      <c r="F24" s="31"/>
    </row>
    <row r="25" spans="1:6" ht="16.05" customHeight="1" x14ac:dyDescent="0.3">
      <c r="A25" s="11" t="s">
        <v>970</v>
      </c>
      <c r="B25" s="12" t="s">
        <v>971</v>
      </c>
      <c r="C25" s="13"/>
      <c r="D25" s="25"/>
      <c r="E25" s="14">
        <v>2</v>
      </c>
      <c r="F25" s="31"/>
    </row>
    <row r="26" spans="1:6" ht="16.05" customHeight="1" x14ac:dyDescent="0.3">
      <c r="A26" s="15" t="s">
        <v>972</v>
      </c>
      <c r="B26" s="16" t="s">
        <v>973</v>
      </c>
      <c r="C26" s="13" t="s">
        <v>11</v>
      </c>
      <c r="D26" s="25"/>
      <c r="E26" s="14"/>
      <c r="F26" s="31"/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7"/>
  <sheetViews>
    <sheetView tabSelected="1" workbookViewId="0">
      <pane ySplit="2" topLeftCell="A9" activePane="bottomLeft" state="frozen"/>
      <selection pane="bottomLeft" activeCell="F24" sqref="F24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8" t="s">
        <v>83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974</v>
      </c>
      <c r="B3" s="12" t="s">
        <v>975</v>
      </c>
      <c r="C3" s="13"/>
      <c r="D3" s="25" t="s">
        <v>11</v>
      </c>
      <c r="E3" s="14"/>
      <c r="F3" s="31"/>
    </row>
    <row r="4" spans="1:6" ht="16.05" customHeight="1" x14ac:dyDescent="0.3">
      <c r="A4" s="15" t="s">
        <v>976</v>
      </c>
      <c r="B4" s="16" t="s">
        <v>977</v>
      </c>
      <c r="C4" s="13"/>
      <c r="D4" s="25" t="s">
        <v>11</v>
      </c>
      <c r="E4" s="14"/>
      <c r="F4" s="31"/>
    </row>
    <row r="5" spans="1:6" ht="16.05" customHeight="1" x14ac:dyDescent="0.3">
      <c r="A5" s="11" t="s">
        <v>978</v>
      </c>
      <c r="B5" s="12" t="s">
        <v>979</v>
      </c>
      <c r="C5" s="13" t="s">
        <v>11</v>
      </c>
      <c r="D5" s="25"/>
      <c r="E5" s="14">
        <v>1</v>
      </c>
      <c r="F5" s="31">
        <v>1</v>
      </c>
    </row>
    <row r="6" spans="1:6" ht="16.05" customHeight="1" x14ac:dyDescent="0.3">
      <c r="A6" s="15" t="s">
        <v>980</v>
      </c>
      <c r="B6" s="16" t="s">
        <v>981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982</v>
      </c>
      <c r="B7" s="12" t="s">
        <v>983</v>
      </c>
      <c r="C7" s="13" t="s">
        <v>11</v>
      </c>
      <c r="D7" s="25"/>
      <c r="E7" s="14">
        <v>2</v>
      </c>
      <c r="F7" s="31">
        <v>2</v>
      </c>
    </row>
    <row r="8" spans="1:6" ht="16.05" customHeight="1" x14ac:dyDescent="0.3">
      <c r="A8" s="15" t="s">
        <v>984</v>
      </c>
      <c r="B8" s="16" t="s">
        <v>985</v>
      </c>
      <c r="C8" s="13" t="s">
        <v>11</v>
      </c>
      <c r="D8" s="25"/>
      <c r="E8" s="14"/>
      <c r="F8" s="31"/>
    </row>
    <row r="9" spans="1:6" ht="16.05" customHeight="1" x14ac:dyDescent="0.3">
      <c r="A9" s="11" t="s">
        <v>986</v>
      </c>
      <c r="B9" s="12" t="s">
        <v>987</v>
      </c>
      <c r="C9" s="13" t="s">
        <v>11</v>
      </c>
      <c r="D9" s="25"/>
      <c r="E9" s="14">
        <v>1</v>
      </c>
      <c r="F9" s="31"/>
    </row>
    <row r="10" spans="1:6" ht="16.05" customHeight="1" x14ac:dyDescent="0.3">
      <c r="A10" s="15" t="s">
        <v>988</v>
      </c>
      <c r="B10" s="16" t="s">
        <v>989</v>
      </c>
      <c r="C10" s="13"/>
      <c r="D10" s="25" t="s">
        <v>11</v>
      </c>
      <c r="E10" s="14"/>
      <c r="F10" s="31"/>
    </row>
    <row r="11" spans="1:6" ht="16.05" customHeight="1" x14ac:dyDescent="0.3">
      <c r="A11" s="11" t="s">
        <v>990</v>
      </c>
      <c r="B11" s="12" t="s">
        <v>991</v>
      </c>
      <c r="C11" s="13" t="s">
        <v>11</v>
      </c>
      <c r="D11" s="25"/>
      <c r="E11" s="14">
        <v>3</v>
      </c>
      <c r="F11" s="31"/>
    </row>
    <row r="12" spans="1:6" ht="16.05" customHeight="1" x14ac:dyDescent="0.3">
      <c r="A12" s="15" t="s">
        <v>992</v>
      </c>
      <c r="B12" s="16" t="s">
        <v>993</v>
      </c>
      <c r="C12" s="13" t="s">
        <v>11</v>
      </c>
      <c r="D12" s="25"/>
      <c r="E12" s="14"/>
      <c r="F12" s="31"/>
    </row>
    <row r="13" spans="1:6" ht="16.05" customHeight="1" x14ac:dyDescent="0.3">
      <c r="A13" s="11" t="s">
        <v>994</v>
      </c>
      <c r="B13" s="12" t="s">
        <v>979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995</v>
      </c>
      <c r="B14" s="16" t="s">
        <v>996</v>
      </c>
      <c r="C14" s="13"/>
      <c r="D14" s="25"/>
      <c r="E14" s="14"/>
      <c r="F14" s="31"/>
    </row>
    <row r="15" spans="1:6" ht="16.05" customHeight="1" x14ac:dyDescent="0.3">
      <c r="A15" s="11" t="s">
        <v>997</v>
      </c>
      <c r="B15" s="12" t="s">
        <v>998</v>
      </c>
      <c r="C15" s="13" t="s">
        <v>11</v>
      </c>
      <c r="D15" s="25"/>
      <c r="E15" s="14">
        <v>1</v>
      </c>
      <c r="F15" s="31"/>
    </row>
    <row r="16" spans="1:6" ht="16.05" customHeight="1" x14ac:dyDescent="0.3">
      <c r="A16" s="15" t="s">
        <v>999</v>
      </c>
      <c r="B16" s="16" t="s">
        <v>1000</v>
      </c>
      <c r="C16" s="13" t="s">
        <v>11</v>
      </c>
      <c r="D16" s="25"/>
      <c r="E16" s="14">
        <v>1</v>
      </c>
      <c r="F16" s="31">
        <v>1</v>
      </c>
    </row>
    <row r="17" spans="1:6" ht="16.05" customHeight="1" x14ac:dyDescent="0.3">
      <c r="A17" s="11" t="s">
        <v>1001</v>
      </c>
      <c r="B17" s="12" t="s">
        <v>1002</v>
      </c>
      <c r="C17" s="13" t="s">
        <v>11</v>
      </c>
      <c r="D17" s="25"/>
      <c r="E17" s="14"/>
      <c r="F17" s="31"/>
    </row>
    <row r="18" spans="1:6" ht="16.05" customHeight="1" x14ac:dyDescent="0.3">
      <c r="A18" s="15" t="s">
        <v>1003</v>
      </c>
      <c r="B18" s="16" t="s">
        <v>1004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1005</v>
      </c>
      <c r="B19" s="12" t="s">
        <v>1006</v>
      </c>
      <c r="C19" s="13"/>
      <c r="D19" s="25"/>
      <c r="E19" s="14">
        <v>2</v>
      </c>
      <c r="F19" s="31">
        <v>1</v>
      </c>
    </row>
    <row r="20" spans="1:6" ht="16.05" customHeight="1" x14ac:dyDescent="0.3">
      <c r="A20" s="15" t="s">
        <v>1007</v>
      </c>
      <c r="B20" s="16" t="s">
        <v>1008</v>
      </c>
      <c r="C20" s="13" t="s">
        <v>11</v>
      </c>
      <c r="D20" s="25"/>
      <c r="E20" s="14">
        <v>2</v>
      </c>
      <c r="F20" s="31"/>
    </row>
    <row r="21" spans="1:6" ht="16.05" customHeight="1" x14ac:dyDescent="0.3">
      <c r="A21" s="11" t="s">
        <v>1009</v>
      </c>
      <c r="B21" s="12" t="s">
        <v>1010</v>
      </c>
      <c r="C21" s="13" t="s">
        <v>11</v>
      </c>
      <c r="D21" s="25"/>
      <c r="E21" s="14"/>
      <c r="F21" s="31"/>
    </row>
    <row r="22" spans="1:6" ht="16.05" customHeight="1" x14ac:dyDescent="0.3">
      <c r="A22" s="15" t="s">
        <v>1011</v>
      </c>
      <c r="B22" s="16" t="s">
        <v>1012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1013</v>
      </c>
      <c r="B23" s="12" t="s">
        <v>85</v>
      </c>
      <c r="C23" s="13" t="s">
        <v>11</v>
      </c>
      <c r="D23" s="25"/>
      <c r="E23" s="14">
        <v>1</v>
      </c>
      <c r="F23" s="31">
        <v>1</v>
      </c>
    </row>
    <row r="24" spans="1:6" ht="16.05" customHeight="1" x14ac:dyDescent="0.3">
      <c r="A24" s="15" t="s">
        <v>1014</v>
      </c>
      <c r="B24" s="16" t="s">
        <v>1015</v>
      </c>
      <c r="C24" s="13"/>
      <c r="D24" s="25"/>
      <c r="E24" s="14">
        <v>6</v>
      </c>
      <c r="F24" s="31">
        <v>1</v>
      </c>
    </row>
    <row r="25" spans="1:6" ht="16.05" customHeight="1" x14ac:dyDescent="0.3">
      <c r="A25" s="11" t="s">
        <v>1016</v>
      </c>
      <c r="B25" s="12" t="s">
        <v>1017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1018</v>
      </c>
      <c r="B26" s="16" t="s">
        <v>1019</v>
      </c>
      <c r="C26" s="13"/>
      <c r="D26" s="25"/>
      <c r="E26" s="14"/>
      <c r="F26" s="31"/>
    </row>
    <row r="27" spans="1:6" ht="16.05" customHeight="1" x14ac:dyDescent="0.3">
      <c r="A27" s="11" t="s">
        <v>1020</v>
      </c>
      <c r="B27" s="12" t="s">
        <v>1021</v>
      </c>
      <c r="C27" s="13"/>
      <c r="D27" s="25"/>
      <c r="E27" s="14"/>
      <c r="F27" s="31"/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7"/>
  <sheetViews>
    <sheetView workbookViewId="0">
      <pane ySplit="2" topLeftCell="A3" activePane="bottomLeft" state="frozen"/>
      <selection pane="bottomLeft" activeCell="E6" sqref="E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39" t="s">
        <v>87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1022</v>
      </c>
      <c r="B3" s="12" t="s">
        <v>1023</v>
      </c>
      <c r="C3" s="13" t="s">
        <v>11</v>
      </c>
      <c r="D3" s="25"/>
      <c r="E3" s="14">
        <v>1</v>
      </c>
      <c r="F3" s="31"/>
    </row>
    <row r="4" spans="1:6" ht="16.05" customHeight="1" x14ac:dyDescent="0.3">
      <c r="A4" s="15" t="s">
        <v>1024</v>
      </c>
      <c r="B4" s="16" t="s">
        <v>1025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1026</v>
      </c>
      <c r="B5" s="12" t="s">
        <v>89</v>
      </c>
      <c r="C5" s="13" t="s">
        <v>11</v>
      </c>
      <c r="D5" s="25"/>
      <c r="E5" s="14">
        <v>1</v>
      </c>
      <c r="F5" s="31"/>
    </row>
    <row r="6" spans="1:6" ht="16.05" customHeight="1" x14ac:dyDescent="0.3">
      <c r="A6" s="15" t="s">
        <v>1027</v>
      </c>
      <c r="B6" s="16" t="s">
        <v>1028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1029</v>
      </c>
      <c r="B7" s="12" t="s">
        <v>1030</v>
      </c>
      <c r="C7" s="13"/>
      <c r="D7" s="25" t="s">
        <v>11</v>
      </c>
      <c r="E7" s="14"/>
      <c r="F7" s="31"/>
    </row>
    <row r="8" spans="1:6" ht="16.05" customHeight="1" x14ac:dyDescent="0.3">
      <c r="A8" s="15" t="s">
        <v>1031</v>
      </c>
      <c r="B8" s="16" t="s">
        <v>1032</v>
      </c>
      <c r="C8" s="13" t="s">
        <v>11</v>
      </c>
      <c r="D8" s="25"/>
      <c r="E8" s="14">
        <v>1</v>
      </c>
      <c r="F8" s="31"/>
    </row>
    <row r="9" spans="1:6" ht="16.05" customHeight="1" x14ac:dyDescent="0.3">
      <c r="A9" s="11" t="s">
        <v>1033</v>
      </c>
      <c r="B9" s="12" t="s">
        <v>1034</v>
      </c>
      <c r="C9" s="13"/>
      <c r="D9" s="25"/>
      <c r="E9" s="14"/>
      <c r="F9" s="31"/>
    </row>
    <row r="10" spans="1:6" ht="16.05" customHeight="1" x14ac:dyDescent="0.3">
      <c r="A10" s="15" t="s">
        <v>1035</v>
      </c>
      <c r="B10" s="16" t="s">
        <v>1036</v>
      </c>
      <c r="C10" s="13" t="s">
        <v>11</v>
      </c>
      <c r="D10" s="25"/>
      <c r="E10" s="14"/>
      <c r="F10" s="31"/>
    </row>
    <row r="11" spans="1:6" ht="16.05" customHeight="1" x14ac:dyDescent="0.3">
      <c r="A11" s="11" t="s">
        <v>1037</v>
      </c>
      <c r="B11" s="12" t="s">
        <v>1038</v>
      </c>
      <c r="C11" s="13"/>
      <c r="D11" s="25" t="s">
        <v>11</v>
      </c>
      <c r="E11" s="14"/>
      <c r="F11" s="31"/>
    </row>
    <row r="12" spans="1:6" ht="16.05" customHeight="1" x14ac:dyDescent="0.3">
      <c r="A12" s="15" t="s">
        <v>1039</v>
      </c>
      <c r="B12" s="16" t="s">
        <v>1040</v>
      </c>
      <c r="C12" s="13"/>
      <c r="D12" s="25"/>
      <c r="E12" s="14"/>
      <c r="F12" s="31"/>
    </row>
    <row r="13" spans="1:6" ht="16.05" customHeight="1" x14ac:dyDescent="0.3">
      <c r="A13" s="11" t="s">
        <v>1041</v>
      </c>
      <c r="B13" s="12" t="s">
        <v>1042</v>
      </c>
      <c r="C13" s="13"/>
      <c r="D13" s="25"/>
      <c r="E13" s="14">
        <v>1</v>
      </c>
      <c r="F13" s="31"/>
    </row>
    <row r="14" spans="1:6" ht="16.05" customHeight="1" x14ac:dyDescent="0.3">
      <c r="A14" s="15" t="s">
        <v>1043</v>
      </c>
      <c r="B14" s="16" t="s">
        <v>1044</v>
      </c>
      <c r="C14" s="13" t="s">
        <v>11</v>
      </c>
      <c r="D14" s="25"/>
      <c r="E14" s="14"/>
      <c r="F14" s="31"/>
    </row>
    <row r="15" spans="1:6" ht="16.05" customHeight="1" x14ac:dyDescent="0.3">
      <c r="A15" s="11" t="s">
        <v>1045</v>
      </c>
      <c r="B15" s="12" t="s">
        <v>1046</v>
      </c>
      <c r="C15" s="13" t="s">
        <v>11</v>
      </c>
      <c r="D15" s="25"/>
      <c r="E15" s="14"/>
      <c r="F15" s="31"/>
    </row>
    <row r="16" spans="1:6" ht="16.05" customHeight="1" x14ac:dyDescent="0.3">
      <c r="A16" s="15" t="s">
        <v>1047</v>
      </c>
      <c r="B16" s="16" t="s">
        <v>1048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1049</v>
      </c>
      <c r="B17" s="12" t="s">
        <v>1050</v>
      </c>
      <c r="C17" s="13"/>
      <c r="D17" s="25" t="s">
        <v>11</v>
      </c>
      <c r="E17" s="14"/>
      <c r="F17" s="31"/>
    </row>
    <row r="18" spans="1:6" ht="16.05" customHeight="1" x14ac:dyDescent="0.3">
      <c r="A18" s="15" t="s">
        <v>1051</v>
      </c>
      <c r="B18" s="16" t="s">
        <v>1052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1053</v>
      </c>
      <c r="B19" s="12" t="s">
        <v>1054</v>
      </c>
      <c r="C19" s="13" t="s">
        <v>11</v>
      </c>
      <c r="D19" s="25"/>
      <c r="E19" s="14"/>
      <c r="F19" s="31"/>
    </row>
    <row r="20" spans="1:6" ht="16.05" customHeight="1" x14ac:dyDescent="0.3">
      <c r="A20" s="15" t="s">
        <v>1055</v>
      </c>
      <c r="B20" s="16" t="s">
        <v>1056</v>
      </c>
      <c r="C20" s="13" t="s">
        <v>11</v>
      </c>
      <c r="D20" s="25"/>
      <c r="E20" s="14"/>
      <c r="F20" s="31"/>
    </row>
    <row r="21" spans="1:6" ht="16.05" customHeight="1" x14ac:dyDescent="0.3">
      <c r="A21" s="11" t="s">
        <v>1057</v>
      </c>
      <c r="B21" s="12" t="s">
        <v>1058</v>
      </c>
      <c r="C21" s="13"/>
      <c r="D21" s="25"/>
      <c r="E21" s="14">
        <v>1</v>
      </c>
      <c r="F21" s="31"/>
    </row>
    <row r="22" spans="1:6" ht="16.05" customHeight="1" x14ac:dyDescent="0.3">
      <c r="A22" s="15" t="s">
        <v>1059</v>
      </c>
      <c r="B22" s="16" t="s">
        <v>1060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1061</v>
      </c>
      <c r="B23" s="12" t="s">
        <v>89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1062</v>
      </c>
      <c r="B24" s="16" t="s">
        <v>1063</v>
      </c>
      <c r="C24" s="13" t="s">
        <v>11</v>
      </c>
      <c r="D24" s="25"/>
      <c r="E24" s="14"/>
      <c r="F24" s="31"/>
    </row>
    <row r="25" spans="1:6" ht="16.05" customHeight="1" x14ac:dyDescent="0.3">
      <c r="A25" s="11" t="s">
        <v>1064</v>
      </c>
      <c r="B25" s="12" t="s">
        <v>1065</v>
      </c>
      <c r="C25" s="13"/>
      <c r="D25" s="25"/>
      <c r="E25" s="14"/>
      <c r="F25" s="31"/>
    </row>
    <row r="26" spans="1:6" ht="16.05" customHeight="1" x14ac:dyDescent="0.3">
      <c r="A26" s="15" t="s">
        <v>1066</v>
      </c>
      <c r="B26" s="16" t="s">
        <v>1067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1068</v>
      </c>
      <c r="B27" s="12" t="s">
        <v>1069</v>
      </c>
      <c r="C27" s="13" t="s">
        <v>11</v>
      </c>
      <c r="D27" s="25"/>
      <c r="E27" s="14"/>
      <c r="F27" s="31"/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4"/>
  <sheetViews>
    <sheetView workbookViewId="0">
      <pane ySplit="2" topLeftCell="A17" activePane="bottomLeft" state="frozen"/>
      <selection pane="bottomLeft" activeCell="E19" sqref="E1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49" t="s">
        <v>95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1070</v>
      </c>
      <c r="B3" s="12" t="s">
        <v>1071</v>
      </c>
      <c r="C3" s="13"/>
      <c r="D3" s="25" t="s">
        <v>11</v>
      </c>
      <c r="E3" s="14"/>
      <c r="F3" s="31"/>
    </row>
    <row r="4" spans="1:6" ht="16.05" customHeight="1" x14ac:dyDescent="0.3">
      <c r="A4" s="15" t="s">
        <v>1072</v>
      </c>
      <c r="B4" s="16" t="s">
        <v>1073</v>
      </c>
      <c r="C4" s="13" t="s">
        <v>11</v>
      </c>
      <c r="D4" s="25"/>
      <c r="E4" s="14"/>
      <c r="F4" s="31"/>
    </row>
    <row r="5" spans="1:6" ht="16.05" customHeight="1" x14ac:dyDescent="0.3">
      <c r="A5" s="11" t="s">
        <v>1074</v>
      </c>
      <c r="B5" s="12" t="s">
        <v>1075</v>
      </c>
      <c r="C5" s="13" t="s">
        <v>11</v>
      </c>
      <c r="D5" s="25"/>
      <c r="E5" s="14">
        <v>2</v>
      </c>
      <c r="F5" s="31">
        <v>1</v>
      </c>
    </row>
    <row r="6" spans="1:6" ht="16.05" customHeight="1" x14ac:dyDescent="0.3">
      <c r="A6" s="15" t="s">
        <v>1076</v>
      </c>
      <c r="B6" s="16" t="s">
        <v>1077</v>
      </c>
      <c r="C6" s="13" t="s">
        <v>11</v>
      </c>
      <c r="D6" s="25"/>
      <c r="E6" s="14">
        <v>3</v>
      </c>
      <c r="F6" s="31"/>
    </row>
    <row r="7" spans="1:6" ht="16.05" customHeight="1" x14ac:dyDescent="0.3">
      <c r="A7" s="11" t="s">
        <v>1078</v>
      </c>
      <c r="B7" s="12" t="s">
        <v>1079</v>
      </c>
      <c r="C7" s="13" t="s">
        <v>11</v>
      </c>
      <c r="D7" s="25"/>
      <c r="E7" s="14">
        <v>1</v>
      </c>
      <c r="F7" s="31"/>
    </row>
    <row r="8" spans="1:6" ht="16.05" customHeight="1" x14ac:dyDescent="0.3">
      <c r="A8" s="15" t="s">
        <v>1080</v>
      </c>
      <c r="B8" s="16" t="s">
        <v>1081</v>
      </c>
      <c r="C8" s="13"/>
      <c r="D8" s="25" t="s">
        <v>11</v>
      </c>
      <c r="E8" s="14"/>
      <c r="F8" s="31"/>
    </row>
    <row r="9" spans="1:6" ht="16.05" customHeight="1" x14ac:dyDescent="0.3">
      <c r="A9" s="11" t="s">
        <v>1082</v>
      </c>
      <c r="B9" s="12" t="s">
        <v>1083</v>
      </c>
      <c r="C9" s="13" t="s">
        <v>11</v>
      </c>
      <c r="D9" s="25"/>
      <c r="E9" s="14">
        <v>1</v>
      </c>
      <c r="F9" s="31">
        <v>1</v>
      </c>
    </row>
    <row r="10" spans="1:6" ht="16.05" customHeight="1" x14ac:dyDescent="0.3">
      <c r="A10" s="15" t="s">
        <v>1084</v>
      </c>
      <c r="B10" s="16" t="s">
        <v>1085</v>
      </c>
      <c r="C10" s="13" t="s">
        <v>11</v>
      </c>
      <c r="D10" s="25"/>
      <c r="E10" s="14">
        <v>1</v>
      </c>
      <c r="F10" s="31"/>
    </row>
    <row r="11" spans="1:6" ht="16.05" customHeight="1" x14ac:dyDescent="0.3">
      <c r="A11" s="11" t="s">
        <v>1086</v>
      </c>
      <c r="B11" s="12" t="s">
        <v>1087</v>
      </c>
      <c r="C11" s="13" t="s">
        <v>11</v>
      </c>
      <c r="D11" s="25"/>
      <c r="E11" s="14">
        <v>1</v>
      </c>
      <c r="F11" s="31">
        <v>1</v>
      </c>
    </row>
    <row r="12" spans="1:6" ht="16.05" customHeight="1" x14ac:dyDescent="0.3">
      <c r="A12" s="15" t="s">
        <v>1088</v>
      </c>
      <c r="B12" s="16" t="s">
        <v>1089</v>
      </c>
      <c r="C12" s="13" t="s">
        <v>11</v>
      </c>
      <c r="D12" s="25"/>
      <c r="E12" s="14">
        <v>1</v>
      </c>
      <c r="F12" s="31"/>
    </row>
    <row r="13" spans="1:6" ht="16.05" customHeight="1" x14ac:dyDescent="0.3">
      <c r="A13" s="11" t="s">
        <v>1090</v>
      </c>
      <c r="B13" s="12" t="s">
        <v>1091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1092</v>
      </c>
      <c r="B14" s="16" t="s">
        <v>1093</v>
      </c>
      <c r="C14" s="13" t="s">
        <v>11</v>
      </c>
      <c r="D14" s="25"/>
      <c r="E14" s="14"/>
      <c r="F14" s="31"/>
    </row>
    <row r="15" spans="1:6" ht="16.05" customHeight="1" x14ac:dyDescent="0.3">
      <c r="A15" s="11" t="s">
        <v>1094</v>
      </c>
      <c r="B15" s="12" t="s">
        <v>1095</v>
      </c>
      <c r="C15" s="13" t="s">
        <v>11</v>
      </c>
      <c r="D15" s="25"/>
      <c r="E15" s="14">
        <v>1</v>
      </c>
      <c r="F15" s="31">
        <v>1</v>
      </c>
    </row>
    <row r="16" spans="1:6" ht="16.05" customHeight="1" x14ac:dyDescent="0.3">
      <c r="A16" s="15" t="s">
        <v>1096</v>
      </c>
      <c r="B16" s="16" t="s">
        <v>1097</v>
      </c>
      <c r="C16" s="13" t="s">
        <v>11</v>
      </c>
      <c r="D16" s="25"/>
      <c r="E16" s="14">
        <v>1</v>
      </c>
      <c r="F16" s="31"/>
    </row>
    <row r="17" spans="1:6" ht="16.05" customHeight="1" x14ac:dyDescent="0.3">
      <c r="A17" s="11" t="s">
        <v>1098</v>
      </c>
      <c r="B17" s="12" t="s">
        <v>1099</v>
      </c>
      <c r="C17" s="13" t="s">
        <v>11</v>
      </c>
      <c r="D17" s="25"/>
      <c r="E17" s="14">
        <v>4</v>
      </c>
      <c r="F17" s="31"/>
    </row>
    <row r="18" spans="1:6" ht="16.05" customHeight="1" x14ac:dyDescent="0.3">
      <c r="A18" s="15" t="s">
        <v>1100</v>
      </c>
      <c r="B18" s="16" t="s">
        <v>1101</v>
      </c>
      <c r="C18" s="13" t="s">
        <v>11</v>
      </c>
      <c r="D18" s="25"/>
      <c r="E18" s="14">
        <v>1</v>
      </c>
      <c r="F18" s="31"/>
    </row>
    <row r="19" spans="1:6" ht="16.05" customHeight="1" x14ac:dyDescent="0.3">
      <c r="A19" s="11" t="s">
        <v>1102</v>
      </c>
      <c r="B19" s="12" t="s">
        <v>1103</v>
      </c>
      <c r="C19" s="13" t="s">
        <v>11</v>
      </c>
      <c r="D19" s="25"/>
      <c r="E19" s="14">
        <v>4</v>
      </c>
      <c r="F19" s="31"/>
    </row>
    <row r="20" spans="1:6" ht="16.05" customHeight="1" x14ac:dyDescent="0.3">
      <c r="A20" s="15" t="s">
        <v>1104</v>
      </c>
      <c r="B20" s="16" t="s">
        <v>1105</v>
      </c>
      <c r="C20" s="13" t="s">
        <v>11</v>
      </c>
      <c r="D20" s="25"/>
      <c r="E20" s="14">
        <v>1</v>
      </c>
      <c r="F20" s="31"/>
    </row>
    <row r="21" spans="1:6" ht="16.05" customHeight="1" x14ac:dyDescent="0.3">
      <c r="A21" s="11" t="s">
        <v>1106</v>
      </c>
      <c r="B21" s="12" t="s">
        <v>1107</v>
      </c>
      <c r="C21" s="13" t="s">
        <v>11</v>
      </c>
      <c r="D21" s="25"/>
      <c r="E21" s="14">
        <v>1</v>
      </c>
      <c r="F21" s="31">
        <v>1</v>
      </c>
    </row>
    <row r="22" spans="1:6" ht="16.05" customHeight="1" x14ac:dyDescent="0.3">
      <c r="A22" s="15" t="s">
        <v>1108</v>
      </c>
      <c r="B22" s="16" t="s">
        <v>1109</v>
      </c>
      <c r="C22" s="13"/>
      <c r="D22" s="25" t="s">
        <v>11</v>
      </c>
      <c r="E22" s="14"/>
      <c r="F22" s="31"/>
    </row>
    <row r="23" spans="1:6" ht="16.05" customHeight="1" x14ac:dyDescent="0.3">
      <c r="A23" s="11" t="s">
        <v>1110</v>
      </c>
      <c r="B23" s="12" t="s">
        <v>1111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1112</v>
      </c>
      <c r="B24" s="16" t="s">
        <v>1113</v>
      </c>
      <c r="C24" s="13" t="s">
        <v>11</v>
      </c>
      <c r="D24" s="25"/>
      <c r="E24" s="14"/>
      <c r="F24" s="31"/>
    </row>
    <row r="25" spans="1:6" ht="16.05" customHeight="1" x14ac:dyDescent="0.3">
      <c r="A25" s="11" t="s">
        <v>1114</v>
      </c>
      <c r="B25" s="12" t="s">
        <v>1115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1116</v>
      </c>
      <c r="B26" s="16" t="s">
        <v>1117</v>
      </c>
      <c r="C26" s="13" t="s">
        <v>11</v>
      </c>
      <c r="D26" s="25"/>
      <c r="E26" s="14">
        <v>2</v>
      </c>
      <c r="F26" s="31"/>
    </row>
    <row r="27" spans="1:6" ht="16.05" customHeight="1" x14ac:dyDescent="0.3">
      <c r="A27" s="11" t="s">
        <v>1118</v>
      </c>
      <c r="B27" s="12" t="s">
        <v>1119</v>
      </c>
      <c r="C27" s="13" t="s">
        <v>11</v>
      </c>
      <c r="D27" s="25"/>
      <c r="E27" s="14">
        <v>1</v>
      </c>
      <c r="F27" s="31"/>
    </row>
    <row r="28" spans="1:6" ht="16.05" customHeight="1" x14ac:dyDescent="0.3">
      <c r="A28" s="15" t="s">
        <v>1120</v>
      </c>
      <c r="B28" s="16" t="s">
        <v>1121</v>
      </c>
      <c r="C28" s="13" t="s">
        <v>11</v>
      </c>
      <c r="D28" s="25"/>
      <c r="E28" s="14"/>
      <c r="F28" s="31"/>
    </row>
    <row r="29" spans="1:6" ht="16.05" customHeight="1" x14ac:dyDescent="0.3">
      <c r="A29" s="11" t="s">
        <v>1122</v>
      </c>
      <c r="B29" s="12" t="s">
        <v>1123</v>
      </c>
      <c r="C29" s="13" t="s">
        <v>11</v>
      </c>
      <c r="D29" s="25"/>
      <c r="E29" s="14">
        <v>2</v>
      </c>
      <c r="F29" s="31"/>
    </row>
    <row r="30" spans="1:6" ht="16.05" customHeight="1" x14ac:dyDescent="0.3">
      <c r="A30" s="15" t="s">
        <v>1124</v>
      </c>
      <c r="B30" s="16" t="s">
        <v>1125</v>
      </c>
      <c r="C30" s="13" t="s">
        <v>11</v>
      </c>
      <c r="D30" s="25"/>
      <c r="E30" s="14">
        <v>1</v>
      </c>
      <c r="F30" s="31"/>
    </row>
    <row r="31" spans="1:6" ht="16.05" customHeight="1" x14ac:dyDescent="0.3">
      <c r="A31" s="11" t="s">
        <v>1126</v>
      </c>
      <c r="B31" s="12" t="s">
        <v>1127</v>
      </c>
      <c r="C31" s="13" t="s">
        <v>11</v>
      </c>
      <c r="D31" s="25"/>
      <c r="E31" s="14">
        <v>3</v>
      </c>
      <c r="F31" s="31"/>
    </row>
    <row r="32" spans="1:6" ht="16.05" customHeight="1" x14ac:dyDescent="0.3">
      <c r="A32" s="15" t="s">
        <v>1128</v>
      </c>
      <c r="B32" s="16" t="s">
        <v>1129</v>
      </c>
      <c r="C32" s="13" t="s">
        <v>11</v>
      </c>
      <c r="D32" s="25"/>
      <c r="E32" s="14">
        <v>2</v>
      </c>
      <c r="F32" s="31"/>
    </row>
    <row r="33" spans="1:6" ht="16.05" customHeight="1" x14ac:dyDescent="0.3">
      <c r="A33" s="11" t="s">
        <v>1130</v>
      </c>
      <c r="B33" s="12" t="s">
        <v>1131</v>
      </c>
      <c r="C33" s="13" t="s">
        <v>11</v>
      </c>
      <c r="D33" s="25"/>
      <c r="E33" s="14">
        <v>1</v>
      </c>
      <c r="F33" s="31"/>
    </row>
    <row r="34" spans="1:6" ht="16.05" customHeight="1" x14ac:dyDescent="0.3">
      <c r="A34" s="15" t="s">
        <v>1132</v>
      </c>
      <c r="B34" s="16" t="s">
        <v>1133</v>
      </c>
      <c r="C34" s="13"/>
      <c r="D34" s="25" t="s">
        <v>11</v>
      </c>
      <c r="E34" s="14"/>
      <c r="F34" s="31"/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8"/>
  <sheetViews>
    <sheetView workbookViewId="0">
      <pane ySplit="2" topLeftCell="A23" activePane="bottomLeft" state="frozen"/>
      <selection pane="bottomLeft" activeCell="E42" sqref="E4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  <col min="6" max="6" width="10" customWidth="1"/>
  </cols>
  <sheetData>
    <row r="1" spans="1:6" ht="28.05" customHeight="1" x14ac:dyDescent="0.3">
      <c r="A1" s="50" t="s">
        <v>96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1134</v>
      </c>
      <c r="B3" s="12" t="s">
        <v>1135</v>
      </c>
      <c r="C3" s="13" t="s">
        <v>11</v>
      </c>
      <c r="D3" s="25"/>
      <c r="E3" s="14"/>
      <c r="F3" s="31"/>
    </row>
    <row r="4" spans="1:6" ht="16.05" customHeight="1" x14ac:dyDescent="0.3">
      <c r="A4" s="15" t="s">
        <v>1136</v>
      </c>
      <c r="B4" s="16" t="s">
        <v>1137</v>
      </c>
      <c r="C4" s="13" t="s">
        <v>11</v>
      </c>
      <c r="D4" s="25"/>
      <c r="E4" s="14">
        <v>1</v>
      </c>
      <c r="F4" s="31"/>
    </row>
    <row r="5" spans="1:6" ht="16.05" customHeight="1" x14ac:dyDescent="0.3">
      <c r="A5" s="11" t="s">
        <v>1138</v>
      </c>
      <c r="B5" s="12" t="s">
        <v>1139</v>
      </c>
      <c r="C5" s="13" t="s">
        <v>11</v>
      </c>
      <c r="D5" s="25"/>
      <c r="E5" s="14"/>
      <c r="F5" s="31"/>
    </row>
    <row r="6" spans="1:6" ht="16.05" customHeight="1" x14ac:dyDescent="0.3">
      <c r="A6" s="15" t="s">
        <v>1140</v>
      </c>
      <c r="B6" s="16" t="s">
        <v>1141</v>
      </c>
      <c r="C6" s="13" t="s">
        <v>11</v>
      </c>
      <c r="D6" s="25"/>
      <c r="E6" s="14">
        <v>1</v>
      </c>
      <c r="F6" s="31"/>
    </row>
    <row r="7" spans="1:6" ht="16.05" customHeight="1" x14ac:dyDescent="0.3">
      <c r="A7" s="11" t="s">
        <v>1142</v>
      </c>
      <c r="B7" s="12" t="s">
        <v>1143</v>
      </c>
      <c r="C7" s="13" t="s">
        <v>11</v>
      </c>
      <c r="D7" s="25"/>
      <c r="E7" s="14">
        <v>1</v>
      </c>
      <c r="F7" s="31"/>
    </row>
    <row r="8" spans="1:6" ht="16.05" customHeight="1" x14ac:dyDescent="0.3">
      <c r="A8" s="15" t="s">
        <v>1144</v>
      </c>
      <c r="B8" s="16" t="s">
        <v>1145</v>
      </c>
      <c r="C8" s="13" t="s">
        <v>11</v>
      </c>
      <c r="D8" s="25"/>
      <c r="E8" s="14">
        <v>1</v>
      </c>
      <c r="F8" s="31"/>
    </row>
    <row r="9" spans="1:6" ht="16.05" customHeight="1" x14ac:dyDescent="0.3">
      <c r="A9" s="11" t="s">
        <v>1146</v>
      </c>
      <c r="B9" s="12" t="s">
        <v>1147</v>
      </c>
      <c r="C9" s="13" t="s">
        <v>11</v>
      </c>
      <c r="D9" s="25"/>
      <c r="E9" s="14">
        <v>2</v>
      </c>
      <c r="F9" s="31"/>
    </row>
    <row r="10" spans="1:6" ht="16.05" customHeight="1" x14ac:dyDescent="0.3">
      <c r="A10" s="15" t="s">
        <v>1148</v>
      </c>
      <c r="B10" s="16" t="s">
        <v>1149</v>
      </c>
      <c r="C10" s="13" t="s">
        <v>11</v>
      </c>
      <c r="D10" s="25"/>
      <c r="E10" s="14"/>
      <c r="F10" s="31"/>
    </row>
    <row r="11" spans="1:6" ht="16.05" customHeight="1" x14ac:dyDescent="0.3">
      <c r="A11" s="11" t="s">
        <v>1150</v>
      </c>
      <c r="B11" s="12" t="s">
        <v>1151</v>
      </c>
      <c r="C11" s="13" t="s">
        <v>11</v>
      </c>
      <c r="D11" s="25"/>
      <c r="E11" s="14"/>
      <c r="F11" s="31"/>
    </row>
    <row r="12" spans="1:6" ht="16.05" customHeight="1" x14ac:dyDescent="0.3">
      <c r="A12" s="15" t="s">
        <v>1152</v>
      </c>
      <c r="B12" s="16" t="s">
        <v>1153</v>
      </c>
      <c r="C12" s="13" t="s">
        <v>11</v>
      </c>
      <c r="D12" s="25"/>
      <c r="E12" s="14"/>
      <c r="F12" s="31"/>
    </row>
    <row r="13" spans="1:6" ht="16.05" customHeight="1" x14ac:dyDescent="0.3">
      <c r="A13" s="11" t="s">
        <v>1154</v>
      </c>
      <c r="B13" s="12" t="s">
        <v>1155</v>
      </c>
      <c r="C13" s="13" t="s">
        <v>11</v>
      </c>
      <c r="D13" s="25"/>
      <c r="E13" s="14"/>
      <c r="F13" s="31"/>
    </row>
    <row r="14" spans="1:6" ht="16.05" customHeight="1" x14ac:dyDescent="0.3">
      <c r="A14" s="15" t="s">
        <v>1156</v>
      </c>
      <c r="B14" s="16" t="s">
        <v>1157</v>
      </c>
      <c r="C14" s="13" t="s">
        <v>11</v>
      </c>
      <c r="D14" s="25"/>
      <c r="E14" s="14"/>
      <c r="F14" s="31"/>
    </row>
    <row r="15" spans="1:6" ht="16.05" customHeight="1" x14ac:dyDescent="0.3">
      <c r="A15" s="11" t="s">
        <v>1158</v>
      </c>
      <c r="B15" s="12" t="s">
        <v>1159</v>
      </c>
      <c r="C15" s="13" t="s">
        <v>11</v>
      </c>
      <c r="D15" s="25"/>
      <c r="E15" s="14">
        <v>1</v>
      </c>
      <c r="F15" s="31"/>
    </row>
    <row r="16" spans="1:6" ht="16.05" customHeight="1" x14ac:dyDescent="0.3">
      <c r="A16" s="15" t="s">
        <v>1160</v>
      </c>
      <c r="B16" s="16" t="s">
        <v>1161</v>
      </c>
      <c r="C16" s="13" t="s">
        <v>11</v>
      </c>
      <c r="D16" s="25"/>
      <c r="E16" s="14"/>
      <c r="F16" s="31"/>
    </row>
    <row r="17" spans="1:6" ht="16.05" customHeight="1" x14ac:dyDescent="0.3">
      <c r="A17" s="11" t="s">
        <v>1162</v>
      </c>
      <c r="B17" s="12" t="s">
        <v>1163</v>
      </c>
      <c r="C17" s="13" t="s">
        <v>11</v>
      </c>
      <c r="D17" s="25"/>
      <c r="E17" s="14">
        <v>1</v>
      </c>
      <c r="F17" s="31"/>
    </row>
    <row r="18" spans="1:6" ht="16.05" customHeight="1" x14ac:dyDescent="0.3">
      <c r="A18" s="15" t="s">
        <v>1164</v>
      </c>
      <c r="B18" s="16" t="s">
        <v>1165</v>
      </c>
      <c r="C18" s="13" t="s">
        <v>11</v>
      </c>
      <c r="D18" s="25"/>
      <c r="E18" s="14"/>
      <c r="F18" s="31"/>
    </row>
    <row r="19" spans="1:6" ht="16.05" customHeight="1" x14ac:dyDescent="0.3">
      <c r="A19" s="11" t="s">
        <v>1166</v>
      </c>
      <c r="B19" s="12" t="s">
        <v>1167</v>
      </c>
      <c r="C19" s="13" t="s">
        <v>11</v>
      </c>
      <c r="D19" s="25"/>
      <c r="E19" s="14">
        <v>1</v>
      </c>
      <c r="F19" s="31"/>
    </row>
    <row r="20" spans="1:6" ht="16.05" customHeight="1" x14ac:dyDescent="0.3">
      <c r="A20" s="15" t="s">
        <v>1168</v>
      </c>
      <c r="B20" s="16" t="s">
        <v>1169</v>
      </c>
      <c r="C20" s="13" t="s">
        <v>11</v>
      </c>
      <c r="D20" s="25"/>
      <c r="E20" s="14">
        <v>1</v>
      </c>
      <c r="F20" s="31"/>
    </row>
    <row r="21" spans="1:6" ht="16.05" customHeight="1" x14ac:dyDescent="0.3">
      <c r="A21" s="11" t="s">
        <v>1170</v>
      </c>
      <c r="B21" s="12" t="s">
        <v>1171</v>
      </c>
      <c r="C21" s="13" t="s">
        <v>11</v>
      </c>
      <c r="D21" s="25"/>
      <c r="E21" s="14">
        <v>1</v>
      </c>
      <c r="F21" s="31"/>
    </row>
    <row r="22" spans="1:6" ht="16.05" customHeight="1" x14ac:dyDescent="0.3">
      <c r="A22" s="15" t="s">
        <v>1172</v>
      </c>
      <c r="B22" s="16" t="s">
        <v>1173</v>
      </c>
      <c r="C22" s="13" t="s">
        <v>11</v>
      </c>
      <c r="D22" s="25"/>
      <c r="E22" s="14"/>
      <c r="F22" s="31"/>
    </row>
    <row r="23" spans="1:6" ht="16.05" customHeight="1" x14ac:dyDescent="0.3">
      <c r="A23" s="11" t="s">
        <v>1174</v>
      </c>
      <c r="B23" s="12" t="s">
        <v>1175</v>
      </c>
      <c r="C23" s="13" t="s">
        <v>11</v>
      </c>
      <c r="D23" s="25"/>
      <c r="E23" s="14"/>
      <c r="F23" s="31"/>
    </row>
    <row r="24" spans="1:6" ht="16.05" customHeight="1" x14ac:dyDescent="0.3">
      <c r="A24" s="15" t="s">
        <v>1176</v>
      </c>
      <c r="B24" s="16" t="s">
        <v>1177</v>
      </c>
      <c r="C24" s="13" t="s">
        <v>11</v>
      </c>
      <c r="D24" s="25"/>
      <c r="E24" s="14">
        <v>1</v>
      </c>
      <c r="F24" s="31"/>
    </row>
    <row r="25" spans="1:6" ht="16.05" customHeight="1" x14ac:dyDescent="0.3">
      <c r="A25" s="11" t="s">
        <v>1178</v>
      </c>
      <c r="B25" s="12" t="s">
        <v>1179</v>
      </c>
      <c r="C25" s="13" t="s">
        <v>11</v>
      </c>
      <c r="D25" s="25"/>
      <c r="E25" s="14"/>
      <c r="F25" s="31"/>
    </row>
    <row r="26" spans="1:6" ht="16.05" customHeight="1" x14ac:dyDescent="0.3">
      <c r="A26" s="15" t="s">
        <v>1180</v>
      </c>
      <c r="B26" s="16" t="s">
        <v>1181</v>
      </c>
      <c r="C26" s="13" t="s">
        <v>11</v>
      </c>
      <c r="D26" s="25"/>
      <c r="E26" s="14"/>
      <c r="F26" s="31"/>
    </row>
    <row r="27" spans="1:6" ht="16.05" customHeight="1" x14ac:dyDescent="0.3">
      <c r="A27" s="11" t="s">
        <v>1182</v>
      </c>
      <c r="B27" s="12" t="s">
        <v>1183</v>
      </c>
      <c r="C27" s="13" t="s">
        <v>11</v>
      </c>
      <c r="D27" s="25"/>
      <c r="E27" s="14">
        <v>1</v>
      </c>
      <c r="F27" s="31"/>
    </row>
    <row r="28" spans="1:6" ht="16.05" customHeight="1" x14ac:dyDescent="0.3">
      <c r="A28" s="15" t="s">
        <v>1184</v>
      </c>
      <c r="B28" s="16" t="s">
        <v>1185</v>
      </c>
      <c r="C28" s="13" t="s">
        <v>11</v>
      </c>
      <c r="D28" s="25"/>
      <c r="E28" s="14">
        <v>3</v>
      </c>
      <c r="F28" s="31"/>
    </row>
    <row r="29" spans="1:6" ht="16.05" customHeight="1" x14ac:dyDescent="0.3">
      <c r="A29" s="11" t="s">
        <v>1186</v>
      </c>
      <c r="B29" s="12" t="s">
        <v>1187</v>
      </c>
      <c r="C29" s="13" t="s">
        <v>11</v>
      </c>
      <c r="D29" s="25"/>
      <c r="E29" s="14"/>
      <c r="F29" s="31"/>
    </row>
    <row r="30" spans="1:6" ht="16.05" customHeight="1" x14ac:dyDescent="0.3">
      <c r="A30" s="15" t="s">
        <v>1188</v>
      </c>
      <c r="B30" s="16" t="s">
        <v>1189</v>
      </c>
      <c r="C30" s="13" t="s">
        <v>11</v>
      </c>
      <c r="D30" s="25"/>
      <c r="E30" s="14"/>
      <c r="F30" s="31"/>
    </row>
    <row r="31" spans="1:6" ht="16.05" customHeight="1" x14ac:dyDescent="0.3">
      <c r="A31" s="11" t="s">
        <v>1190</v>
      </c>
      <c r="B31" s="12" t="s">
        <v>1191</v>
      </c>
      <c r="C31" s="13" t="s">
        <v>11</v>
      </c>
      <c r="D31" s="25"/>
      <c r="E31" s="14"/>
      <c r="F31" s="31"/>
    </row>
    <row r="32" spans="1:6" ht="16.05" customHeight="1" x14ac:dyDescent="0.3">
      <c r="A32" s="15" t="s">
        <v>1192</v>
      </c>
      <c r="B32" s="16" t="s">
        <v>1193</v>
      </c>
      <c r="C32" s="13" t="s">
        <v>11</v>
      </c>
      <c r="D32" s="25"/>
      <c r="E32" s="14"/>
      <c r="F32" s="31"/>
    </row>
    <row r="33" spans="1:6" ht="16.05" customHeight="1" x14ac:dyDescent="0.3">
      <c r="A33" s="11" t="s">
        <v>1194</v>
      </c>
      <c r="B33" s="12" t="s">
        <v>1195</v>
      </c>
      <c r="C33" s="13"/>
      <c r="D33" s="25" t="s">
        <v>11</v>
      </c>
      <c r="E33" s="14"/>
      <c r="F33" s="31"/>
    </row>
    <row r="34" spans="1:6" ht="16.05" customHeight="1" x14ac:dyDescent="0.3">
      <c r="A34" s="15" t="s">
        <v>1196</v>
      </c>
      <c r="B34" s="16" t="s">
        <v>1197</v>
      </c>
      <c r="C34" s="13" t="s">
        <v>11</v>
      </c>
      <c r="D34" s="25"/>
      <c r="E34" s="14">
        <v>1</v>
      </c>
      <c r="F34" s="31">
        <v>1</v>
      </c>
    </row>
    <row r="35" spans="1:6" ht="16.05" customHeight="1" x14ac:dyDescent="0.3">
      <c r="A35" s="11" t="s">
        <v>1198</v>
      </c>
      <c r="B35" s="12" t="s">
        <v>1199</v>
      </c>
      <c r="C35" s="13" t="s">
        <v>11</v>
      </c>
      <c r="D35" s="25"/>
      <c r="E35" s="14"/>
      <c r="F35" s="31"/>
    </row>
    <row r="36" spans="1:6" ht="16.05" customHeight="1" x14ac:dyDescent="0.3">
      <c r="A36" s="15" t="s">
        <v>1200</v>
      </c>
      <c r="B36" s="16" t="s">
        <v>1201</v>
      </c>
      <c r="C36" s="13" t="s">
        <v>11</v>
      </c>
      <c r="D36" s="25"/>
      <c r="E36" s="14"/>
      <c r="F36" s="31"/>
    </row>
    <row r="37" spans="1:6" ht="16.05" customHeight="1" x14ac:dyDescent="0.3">
      <c r="A37" s="11" t="s">
        <v>1202</v>
      </c>
      <c r="B37" s="12" t="s">
        <v>1203</v>
      </c>
      <c r="C37" s="13" t="s">
        <v>11</v>
      </c>
      <c r="D37" s="25"/>
      <c r="E37" s="14"/>
      <c r="F37" s="31"/>
    </row>
    <row r="38" spans="1:6" ht="16.05" customHeight="1" x14ac:dyDescent="0.3">
      <c r="A38" s="15" t="s">
        <v>1204</v>
      </c>
      <c r="B38" s="16" t="s">
        <v>1205</v>
      </c>
      <c r="C38" s="13" t="s">
        <v>11</v>
      </c>
      <c r="D38" s="25"/>
      <c r="E38" s="14"/>
      <c r="F38" s="31"/>
    </row>
    <row r="39" spans="1:6" ht="16.05" customHeight="1" x14ac:dyDescent="0.3">
      <c r="A39" s="11" t="s">
        <v>1206</v>
      </c>
      <c r="B39" s="12" t="s">
        <v>1207</v>
      </c>
      <c r="C39" s="13" t="s">
        <v>11</v>
      </c>
      <c r="D39" s="25"/>
      <c r="E39" s="14"/>
      <c r="F39" s="31"/>
    </row>
    <row r="40" spans="1:6" ht="16.05" customHeight="1" x14ac:dyDescent="0.3">
      <c r="A40" s="15" t="s">
        <v>1208</v>
      </c>
      <c r="B40" s="16" t="s">
        <v>1209</v>
      </c>
      <c r="C40" s="13" t="s">
        <v>11</v>
      </c>
      <c r="D40" s="25"/>
      <c r="E40" s="14"/>
      <c r="F40" s="31"/>
    </row>
    <row r="41" spans="1:6" ht="16.05" customHeight="1" x14ac:dyDescent="0.3">
      <c r="A41" s="11" t="s">
        <v>1210</v>
      </c>
      <c r="B41" s="12" t="s">
        <v>1211</v>
      </c>
      <c r="C41" s="13" t="s">
        <v>11</v>
      </c>
      <c r="D41" s="25"/>
      <c r="E41" s="14"/>
      <c r="F41" s="31"/>
    </row>
    <row r="42" spans="1:6" ht="16.05" customHeight="1" x14ac:dyDescent="0.3">
      <c r="A42" s="15" t="s">
        <v>1212</v>
      </c>
      <c r="B42" s="16" t="s">
        <v>1213</v>
      </c>
      <c r="C42" s="13" t="s">
        <v>11</v>
      </c>
      <c r="D42" s="25"/>
      <c r="E42" s="14">
        <v>1</v>
      </c>
      <c r="F42" s="31"/>
    </row>
    <row r="43" spans="1:6" ht="16.05" customHeight="1" x14ac:dyDescent="0.3">
      <c r="A43" s="11" t="s">
        <v>1214</v>
      </c>
      <c r="B43" s="12" t="s">
        <v>1215</v>
      </c>
      <c r="C43" s="13" t="s">
        <v>11</v>
      </c>
      <c r="D43" s="25"/>
      <c r="E43" s="14"/>
      <c r="F43" s="31"/>
    </row>
    <row r="44" spans="1:6" ht="16.05" customHeight="1" x14ac:dyDescent="0.3">
      <c r="A44" s="15" t="s">
        <v>1216</v>
      </c>
      <c r="B44" s="16" t="s">
        <v>1217</v>
      </c>
      <c r="C44" s="13" t="s">
        <v>11</v>
      </c>
      <c r="D44" s="25"/>
      <c r="E44" s="14"/>
      <c r="F44" s="31"/>
    </row>
    <row r="45" spans="1:6" ht="16.05" customHeight="1" x14ac:dyDescent="0.3">
      <c r="A45" s="11" t="s">
        <v>1218</v>
      </c>
      <c r="B45" s="12" t="s">
        <v>1219</v>
      </c>
      <c r="C45" s="13" t="s">
        <v>11</v>
      </c>
      <c r="D45" s="25"/>
      <c r="E45" s="14"/>
      <c r="F45" s="31"/>
    </row>
    <row r="46" spans="1:6" ht="16.05" customHeight="1" x14ac:dyDescent="0.3">
      <c r="A46" s="15" t="s">
        <v>1220</v>
      </c>
      <c r="B46" s="16" t="s">
        <v>1221</v>
      </c>
      <c r="C46" s="13" t="s">
        <v>11</v>
      </c>
      <c r="D46" s="25"/>
      <c r="E46" s="14"/>
      <c r="F46" s="31"/>
    </row>
    <row r="47" spans="1:6" ht="16.05" customHeight="1" x14ac:dyDescent="0.3">
      <c r="A47" s="11" t="s">
        <v>1222</v>
      </c>
      <c r="B47" s="12" t="s">
        <v>1223</v>
      </c>
      <c r="C47" s="13" t="s">
        <v>11</v>
      </c>
      <c r="D47" s="25"/>
      <c r="E47" s="14"/>
      <c r="F47" s="31"/>
    </row>
    <row r="48" spans="1:6" ht="16.05" customHeight="1" x14ac:dyDescent="0.3">
      <c r="A48" s="15" t="s">
        <v>1224</v>
      </c>
      <c r="B48" s="16" t="s">
        <v>1225</v>
      </c>
      <c r="C48" s="13"/>
      <c r="D48" s="25" t="s">
        <v>11</v>
      </c>
      <c r="E48" s="14"/>
      <c r="F48" s="31"/>
    </row>
    <row r="49" spans="1:6" ht="16.05" customHeight="1" x14ac:dyDescent="0.3">
      <c r="A49" s="11" t="s">
        <v>1226</v>
      </c>
      <c r="B49" s="12" t="s">
        <v>1227</v>
      </c>
      <c r="C49" s="13"/>
      <c r="D49" s="25" t="s">
        <v>11</v>
      </c>
      <c r="E49" s="14"/>
      <c r="F49" s="31"/>
    </row>
    <row r="50" spans="1:6" ht="16.05" customHeight="1" x14ac:dyDescent="0.3">
      <c r="A50" s="15" t="s">
        <v>1228</v>
      </c>
      <c r="B50" s="16" t="s">
        <v>1229</v>
      </c>
      <c r="C50" s="13" t="s">
        <v>11</v>
      </c>
      <c r="D50" s="25"/>
      <c r="E50" s="14"/>
      <c r="F50" s="31"/>
    </row>
    <row r="51" spans="1:6" ht="16.05" customHeight="1" x14ac:dyDescent="0.3">
      <c r="A51" s="11" t="s">
        <v>1230</v>
      </c>
      <c r="B51" s="12" t="s">
        <v>1231</v>
      </c>
      <c r="C51" s="13"/>
      <c r="D51" s="25" t="s">
        <v>11</v>
      </c>
      <c r="E51" s="14"/>
      <c r="F51" s="31"/>
    </row>
    <row r="52" spans="1:6" ht="16.05" customHeight="1" x14ac:dyDescent="0.3">
      <c r="A52" s="15" t="s">
        <v>1232</v>
      </c>
      <c r="B52" s="16" t="s">
        <v>1233</v>
      </c>
      <c r="C52" s="13"/>
      <c r="D52" s="25" t="s">
        <v>11</v>
      </c>
      <c r="E52" s="14"/>
      <c r="F52" s="31"/>
    </row>
    <row r="53" spans="1:6" ht="16.05" customHeight="1" x14ac:dyDescent="0.3">
      <c r="A53" s="11" t="s">
        <v>1234</v>
      </c>
      <c r="B53" s="12" t="s">
        <v>1235</v>
      </c>
      <c r="C53" s="13"/>
      <c r="D53" s="25" t="s">
        <v>11</v>
      </c>
      <c r="E53" s="14"/>
      <c r="F53" s="31"/>
    </row>
    <row r="54" spans="1:6" ht="16.05" customHeight="1" x14ac:dyDescent="0.3">
      <c r="A54" s="15" t="s">
        <v>1236</v>
      </c>
      <c r="B54" s="16" t="s">
        <v>1237</v>
      </c>
      <c r="C54" s="13" t="s">
        <v>11</v>
      </c>
      <c r="D54" s="25"/>
      <c r="E54" s="14"/>
      <c r="F54" s="31"/>
    </row>
    <row r="55" spans="1:6" ht="16.05" customHeight="1" x14ac:dyDescent="0.3">
      <c r="A55" s="11" t="s">
        <v>1238</v>
      </c>
      <c r="B55" s="12" t="s">
        <v>1239</v>
      </c>
      <c r="C55" s="13"/>
      <c r="D55" s="25" t="s">
        <v>11</v>
      </c>
      <c r="E55" s="14"/>
      <c r="F55" s="31"/>
    </row>
    <row r="56" spans="1:6" ht="16.05" customHeight="1" x14ac:dyDescent="0.3">
      <c r="A56" s="15" t="s">
        <v>1240</v>
      </c>
      <c r="B56" s="16" t="s">
        <v>1241</v>
      </c>
      <c r="C56" s="13"/>
      <c r="D56" s="25" t="s">
        <v>11</v>
      </c>
      <c r="E56" s="14"/>
      <c r="F56" s="31"/>
    </row>
    <row r="57" spans="1:6" ht="16.05" customHeight="1" x14ac:dyDescent="0.3">
      <c r="A57" s="11" t="s">
        <v>1242</v>
      </c>
      <c r="B57" s="12" t="s">
        <v>1243</v>
      </c>
      <c r="C57" s="13"/>
      <c r="D57" s="25" t="s">
        <v>11</v>
      </c>
      <c r="E57" s="14"/>
      <c r="F57" s="31"/>
    </row>
    <row r="58" spans="1:6" ht="16.05" customHeight="1" x14ac:dyDescent="0.3">
      <c r="A58" s="15" t="s">
        <v>1244</v>
      </c>
      <c r="B58" s="16" t="s">
        <v>1245</v>
      </c>
      <c r="C58" s="13"/>
      <c r="D58" s="25" t="s">
        <v>11</v>
      </c>
      <c r="E58" s="14"/>
      <c r="F58" s="31"/>
    </row>
    <row r="59" spans="1:6" ht="16.05" customHeight="1" x14ac:dyDescent="0.3">
      <c r="A59" s="11" t="s">
        <v>1246</v>
      </c>
      <c r="B59" s="12" t="s">
        <v>1247</v>
      </c>
      <c r="C59" s="13"/>
      <c r="D59" s="25" t="s">
        <v>11</v>
      </c>
      <c r="E59" s="14"/>
      <c r="F59" s="31"/>
    </row>
    <row r="60" spans="1:6" ht="16.05" customHeight="1" x14ac:dyDescent="0.3">
      <c r="A60" s="15" t="s">
        <v>1248</v>
      </c>
      <c r="B60" s="16" t="s">
        <v>1249</v>
      </c>
      <c r="C60" s="13"/>
      <c r="D60" s="25" t="s">
        <v>11</v>
      </c>
      <c r="E60" s="14"/>
      <c r="F60" s="31"/>
    </row>
    <row r="61" spans="1:6" ht="16.05" customHeight="1" x14ac:dyDescent="0.3">
      <c r="A61" s="11" t="s">
        <v>1250</v>
      </c>
      <c r="B61" s="12" t="s">
        <v>1251</v>
      </c>
      <c r="C61" s="13"/>
      <c r="D61" s="25" t="s">
        <v>11</v>
      </c>
      <c r="E61" s="14"/>
      <c r="F61" s="31"/>
    </row>
    <row r="62" spans="1:6" ht="16.05" customHeight="1" x14ac:dyDescent="0.3">
      <c r="A62" s="15" t="s">
        <v>1252</v>
      </c>
      <c r="B62" s="16" t="s">
        <v>1253</v>
      </c>
      <c r="C62" s="13" t="s">
        <v>11</v>
      </c>
      <c r="D62" s="25"/>
      <c r="E62" s="14"/>
      <c r="F62" s="31"/>
    </row>
    <row r="63" spans="1:6" ht="16.05" customHeight="1" x14ac:dyDescent="0.3">
      <c r="A63" s="11" t="s">
        <v>1254</v>
      </c>
      <c r="B63" s="12" t="s">
        <v>1255</v>
      </c>
      <c r="C63" s="13"/>
      <c r="D63" s="25" t="s">
        <v>11</v>
      </c>
      <c r="E63" s="14"/>
      <c r="F63" s="31"/>
    </row>
    <row r="64" spans="1:6" ht="16.05" customHeight="1" x14ac:dyDescent="0.3">
      <c r="A64" s="15" t="s">
        <v>1256</v>
      </c>
      <c r="B64" s="16" t="s">
        <v>1257</v>
      </c>
      <c r="C64" s="13"/>
      <c r="D64" s="25" t="s">
        <v>11</v>
      </c>
      <c r="E64" s="14"/>
      <c r="F64" s="31"/>
    </row>
    <row r="65" spans="1:6" ht="16.05" customHeight="1" x14ac:dyDescent="0.3">
      <c r="A65" s="11" t="s">
        <v>1258</v>
      </c>
      <c r="B65" s="12" t="s">
        <v>1259</v>
      </c>
      <c r="C65" s="13"/>
      <c r="D65" s="25" t="s">
        <v>11</v>
      </c>
      <c r="E65" s="14"/>
      <c r="F65" s="31"/>
    </row>
    <row r="66" spans="1:6" ht="16.05" customHeight="1" x14ac:dyDescent="0.3">
      <c r="A66" s="15" t="s">
        <v>1260</v>
      </c>
      <c r="B66" s="16" t="s">
        <v>1261</v>
      </c>
      <c r="C66" s="13"/>
      <c r="D66" s="25" t="s">
        <v>11</v>
      </c>
      <c r="E66" s="14"/>
      <c r="F66" s="31"/>
    </row>
    <row r="67" spans="1:6" ht="16.05" customHeight="1" x14ac:dyDescent="0.3">
      <c r="A67" s="11" t="s">
        <v>1262</v>
      </c>
      <c r="B67" s="12" t="s">
        <v>1263</v>
      </c>
      <c r="C67" s="13"/>
      <c r="D67" s="25"/>
      <c r="E67" s="14"/>
      <c r="F67" s="31"/>
    </row>
    <row r="68" spans="1:6" ht="16.05" customHeight="1" x14ac:dyDescent="0.3">
      <c r="A68" s="15" t="s">
        <v>1264</v>
      </c>
      <c r="B68" s="16" t="s">
        <v>1265</v>
      </c>
      <c r="C68" s="13"/>
      <c r="D68" s="25"/>
      <c r="E68" s="14"/>
      <c r="F68" s="31"/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1"/>
  <sheetViews>
    <sheetView workbookViewId="0">
      <pane ySplit="2" topLeftCell="A3" activePane="bottomLeft" state="frozen"/>
      <selection pane="bottomLeft" activeCell="F7" sqref="F7"/>
    </sheetView>
  </sheetViews>
  <sheetFormatPr defaultRowHeight="14.4" x14ac:dyDescent="0.3"/>
  <cols>
    <col min="1" max="1" width="8" customWidth="1"/>
    <col min="2" max="2" width="43.5546875" bestFit="1" customWidth="1"/>
    <col min="3" max="3" width="6.44140625" bestFit="1" customWidth="1"/>
    <col min="4" max="4" width="10" customWidth="1"/>
    <col min="5" max="5" width="12" customWidth="1"/>
    <col min="6" max="6" width="10" customWidth="1"/>
  </cols>
  <sheetData>
    <row r="1" spans="1:6" ht="28.05" customHeight="1" x14ac:dyDescent="0.3">
      <c r="A1" s="51" t="s">
        <v>97</v>
      </c>
      <c r="B1" s="33"/>
      <c r="C1" s="33"/>
      <c r="D1" s="33"/>
    </row>
    <row r="2" spans="1:6" ht="18" customHeight="1" x14ac:dyDescent="0.3">
      <c r="A2" s="1" t="s">
        <v>101</v>
      </c>
      <c r="B2" s="1" t="s">
        <v>102</v>
      </c>
      <c r="C2" s="1" t="s">
        <v>4</v>
      </c>
      <c r="D2" s="1" t="s">
        <v>5</v>
      </c>
      <c r="E2" s="1" t="s">
        <v>6</v>
      </c>
      <c r="F2" s="27" t="s">
        <v>7</v>
      </c>
    </row>
    <row r="3" spans="1:6" ht="16.05" customHeight="1" x14ac:dyDescent="0.3">
      <c r="A3" s="11" t="s">
        <v>1266</v>
      </c>
      <c r="B3" s="12" t="s">
        <v>1267</v>
      </c>
      <c r="C3" s="13" t="s">
        <v>11</v>
      </c>
      <c r="D3" s="25"/>
      <c r="E3" s="14">
        <v>4</v>
      </c>
      <c r="F3" s="31"/>
    </row>
    <row r="4" spans="1:6" ht="16.05" customHeight="1" x14ac:dyDescent="0.3">
      <c r="A4" s="15" t="s">
        <v>1268</v>
      </c>
      <c r="B4" s="16" t="s">
        <v>1269</v>
      </c>
      <c r="C4" s="13" t="s">
        <v>11</v>
      </c>
      <c r="D4" s="25"/>
      <c r="E4" s="14">
        <v>0</v>
      </c>
      <c r="F4" s="31"/>
    </row>
    <row r="5" spans="1:6" ht="16.05" customHeight="1" x14ac:dyDescent="0.3">
      <c r="A5" s="11" t="s">
        <v>1270</v>
      </c>
      <c r="B5" s="12" t="s">
        <v>1271</v>
      </c>
      <c r="C5" s="13" t="s">
        <v>11</v>
      </c>
      <c r="D5" s="25"/>
      <c r="E5" s="14">
        <v>3</v>
      </c>
      <c r="F5" s="31">
        <v>1</v>
      </c>
    </row>
    <row r="6" spans="1:6" ht="16.05" customHeight="1" x14ac:dyDescent="0.3">
      <c r="A6" s="15" t="s">
        <v>1272</v>
      </c>
      <c r="B6" s="16" t="s">
        <v>1273</v>
      </c>
      <c r="C6" s="13" t="s">
        <v>11</v>
      </c>
      <c r="D6" s="25"/>
      <c r="E6" s="14">
        <v>2</v>
      </c>
      <c r="F6" s="31">
        <v>2</v>
      </c>
    </row>
    <row r="7" spans="1:6" ht="16.05" customHeight="1" x14ac:dyDescent="0.3">
      <c r="A7" s="11" t="s">
        <v>1274</v>
      </c>
      <c r="B7" s="12" t="s">
        <v>1275</v>
      </c>
      <c r="C7" s="13" t="s">
        <v>11</v>
      </c>
      <c r="D7" s="25"/>
      <c r="E7" s="14">
        <v>2</v>
      </c>
      <c r="F7" s="31"/>
    </row>
    <row r="8" spans="1:6" ht="16.05" customHeight="1" x14ac:dyDescent="0.3">
      <c r="A8" s="15" t="s">
        <v>1276</v>
      </c>
      <c r="B8" s="16" t="s">
        <v>1277</v>
      </c>
      <c r="C8" s="13" t="s">
        <v>11</v>
      </c>
      <c r="D8" s="25"/>
      <c r="E8" s="14">
        <v>1</v>
      </c>
      <c r="F8" s="31"/>
    </row>
    <row r="9" spans="1:6" ht="16.05" customHeight="1" x14ac:dyDescent="0.3">
      <c r="A9" s="11" t="s">
        <v>1278</v>
      </c>
      <c r="B9" s="12" t="s">
        <v>1279</v>
      </c>
      <c r="C9" s="13" t="s">
        <v>11</v>
      </c>
      <c r="D9" s="25"/>
      <c r="E9" s="14">
        <v>1</v>
      </c>
      <c r="F9" s="31">
        <v>1</v>
      </c>
    </row>
    <row r="10" spans="1:6" ht="16.05" customHeight="1" x14ac:dyDescent="0.3">
      <c r="A10" s="15" t="s">
        <v>1280</v>
      </c>
      <c r="B10" s="16" t="s">
        <v>1281</v>
      </c>
      <c r="C10" s="13"/>
      <c r="D10" s="25" t="s">
        <v>11</v>
      </c>
      <c r="E10" s="14">
        <v>0</v>
      </c>
      <c r="F10" s="31"/>
    </row>
    <row r="11" spans="1:6" ht="16.05" customHeight="1" x14ac:dyDescent="0.3">
      <c r="A11" s="11" t="s">
        <v>1282</v>
      </c>
      <c r="B11" s="12" t="s">
        <v>1283</v>
      </c>
      <c r="C11" s="13"/>
      <c r="D11" s="25" t="s">
        <v>11</v>
      </c>
      <c r="E11" s="14">
        <v>0</v>
      </c>
      <c r="F11" s="31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25</vt:i4>
      </vt:variant>
    </vt:vector>
  </HeadingPairs>
  <TitlesOfParts>
    <vt:vector size="25" baseType="lpstr">
      <vt:lpstr>RESUMEN</vt:lpstr>
      <vt:lpstr>CHICLE LIGA</vt:lpstr>
      <vt:lpstr>D. ALAVÉS</vt:lpstr>
      <vt:lpstr>ATHLETIC CLUB</vt:lpstr>
      <vt:lpstr>ATLÉTICO DE MADRID</vt:lpstr>
      <vt:lpstr>FC BARCELONA</vt:lpstr>
      <vt:lpstr>REAL BETIS</vt:lpstr>
      <vt:lpstr>CADIZ CF</vt:lpstr>
      <vt:lpstr>RC CELTA</vt:lpstr>
      <vt:lpstr>ELCHE CF</vt:lpstr>
      <vt:lpstr>RCD ESPANYOL</vt:lpstr>
      <vt:lpstr>GETAFE CF</vt:lpstr>
      <vt:lpstr>GRANADA CF</vt:lpstr>
      <vt:lpstr>LEVANTE UD</vt:lpstr>
      <vt:lpstr>REAL MADRID</vt:lpstr>
      <vt:lpstr>RCD MALLORCA</vt:lpstr>
      <vt:lpstr>C.A. OSASUNA</vt:lpstr>
      <vt:lpstr>RAYO VALLECANO</vt:lpstr>
      <vt:lpstr>REAL SOCIEDAD</vt:lpstr>
      <vt:lpstr>SEVILLA FC</vt:lpstr>
      <vt:lpstr>VALENCIA CF</vt:lpstr>
      <vt:lpstr>VILLARREAL CF</vt:lpstr>
      <vt:lpstr>LEYENDAS LaLiga</vt:lpstr>
      <vt:lpstr>FICHAJES DE INVIERNO</vt:lpstr>
      <vt:lpstr>50 ANIVERSARIO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2026-06-04T05:19:05Z</dcterms:created>
  <dcterms:modified xsi:type="dcterms:W3CDTF">2026-06-05T08:10:53Z</dcterms:modified>
</cp:coreProperties>
</file>